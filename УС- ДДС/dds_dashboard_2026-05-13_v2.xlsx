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Анна\Desktop\тестовая\УС- ДДС\"/>
    </mc:Choice>
  </mc:AlternateContent>
  <xr:revisionPtr revIDLastSave="0" documentId="13_ncr:1_{48BD0EB0-0E28-432F-A2B3-E91CF600358E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Ops" sheetId="1" r:id="rId1"/>
    <sheet name="Dash" sheetId="2" r:id="rId2"/>
  </sheets>
  <calcPr calcId="191029" forceFullCalc="1"/>
</workbook>
</file>

<file path=xl/calcChain.xml><?xml version="1.0" encoding="utf-8"?>
<calcChain xmlns="http://schemas.openxmlformats.org/spreadsheetml/2006/main">
  <c r="F522" i="1" l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H522" i="1"/>
  <c r="I522" i="1" s="1"/>
  <c r="H523" i="1"/>
  <c r="I523" i="1" s="1"/>
  <c r="H524" i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H531" i="1"/>
  <c r="H532" i="1"/>
  <c r="I532" i="1" s="1"/>
  <c r="H533" i="1"/>
  <c r="I533" i="1" s="1"/>
  <c r="H534" i="1"/>
  <c r="I534" i="1" s="1"/>
  <c r="H535" i="1"/>
  <c r="I535" i="1" s="1"/>
  <c r="H536" i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H579" i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H595" i="1"/>
  <c r="I595" i="1" s="1"/>
  <c r="H596" i="1"/>
  <c r="I596" i="1" s="1"/>
  <c r="H597" i="1"/>
  <c r="I597" i="1" s="1"/>
  <c r="H598" i="1"/>
  <c r="I598" i="1" s="1"/>
  <c r="H599" i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H608" i="1"/>
  <c r="I608" i="1" s="1"/>
  <c r="H609" i="1"/>
  <c r="I609" i="1" s="1"/>
  <c r="H610" i="1"/>
  <c r="H611" i="1"/>
  <c r="I611" i="1" s="1"/>
  <c r="H612" i="1"/>
  <c r="I612" i="1" s="1"/>
  <c r="H613" i="1"/>
  <c r="I613" i="1" s="1"/>
  <c r="H614" i="1"/>
  <c r="I614" i="1" s="1"/>
  <c r="H615" i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H627" i="1"/>
  <c r="I627" i="1" s="1"/>
  <c r="H628" i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H640" i="1"/>
  <c r="I640" i="1" s="1"/>
  <c r="H641" i="1"/>
  <c r="I641" i="1" s="1"/>
  <c r="H642" i="1"/>
  <c r="H643" i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H659" i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H672" i="1"/>
  <c r="I672" i="1" s="1"/>
  <c r="H673" i="1"/>
  <c r="I673" i="1" s="1"/>
  <c r="H674" i="1"/>
  <c r="H675" i="1"/>
  <c r="I675" i="1" s="1"/>
  <c r="H676" i="1"/>
  <c r="I676" i="1" s="1"/>
  <c r="H677" i="1"/>
  <c r="I677" i="1" s="1"/>
  <c r="H678" i="1"/>
  <c r="I678" i="1" s="1"/>
  <c r="H679" i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H739" i="1"/>
  <c r="I739" i="1" s="1"/>
  <c r="H740" i="1"/>
  <c r="I740" i="1" s="1"/>
  <c r="H741" i="1"/>
  <c r="I741" i="1" s="1"/>
  <c r="H742" i="1"/>
  <c r="I742" i="1" s="1"/>
  <c r="H743" i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H755" i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H787" i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524" i="1"/>
  <c r="I530" i="1"/>
  <c r="I531" i="1"/>
  <c r="I536" i="1"/>
  <c r="I546" i="1"/>
  <c r="I562" i="1"/>
  <c r="I571" i="1"/>
  <c r="I578" i="1"/>
  <c r="I579" i="1"/>
  <c r="I594" i="1"/>
  <c r="I599" i="1"/>
  <c r="I607" i="1"/>
  <c r="I610" i="1"/>
  <c r="I615" i="1"/>
  <c r="I626" i="1"/>
  <c r="I628" i="1"/>
  <c r="I639" i="1"/>
  <c r="I642" i="1"/>
  <c r="I643" i="1"/>
  <c r="I658" i="1"/>
  <c r="I659" i="1"/>
  <c r="I671" i="1"/>
  <c r="I674" i="1"/>
  <c r="I679" i="1"/>
  <c r="I690" i="1"/>
  <c r="I699" i="1"/>
  <c r="I706" i="1"/>
  <c r="I722" i="1"/>
  <c r="I731" i="1"/>
  <c r="I738" i="1"/>
  <c r="I743" i="1"/>
  <c r="I754" i="1"/>
  <c r="I755" i="1"/>
  <c r="I763" i="1"/>
  <c r="I770" i="1"/>
  <c r="I779" i="1"/>
  <c r="I786" i="1"/>
  <c r="I787" i="1"/>
  <c r="I799" i="1"/>
  <c r="I807" i="1"/>
  <c r="I823" i="1"/>
  <c r="F5" i="1" l="1"/>
  <c r="G5" i="1"/>
  <c r="H5" i="1"/>
  <c r="I5" i="1" s="1"/>
  <c r="F6" i="1"/>
  <c r="G6" i="1"/>
  <c r="H6" i="1"/>
  <c r="I6" i="1" s="1"/>
  <c r="F7" i="1"/>
  <c r="G7" i="1"/>
  <c r="H7" i="1"/>
  <c r="I7" i="1" s="1"/>
  <c r="F8" i="1"/>
  <c r="G8" i="1"/>
  <c r="H8" i="1"/>
  <c r="I8" i="1" s="1"/>
  <c r="F9" i="1"/>
  <c r="G9" i="1"/>
  <c r="H9" i="1"/>
  <c r="I9" i="1" s="1"/>
  <c r="F10" i="1"/>
  <c r="G10" i="1"/>
  <c r="H10" i="1"/>
  <c r="I10" i="1" s="1"/>
  <c r="F11" i="1"/>
  <c r="G11" i="1"/>
  <c r="H11" i="1"/>
  <c r="I11" i="1" s="1"/>
  <c r="F12" i="1"/>
  <c r="G12" i="1"/>
  <c r="H12" i="1"/>
  <c r="I12" i="1" s="1"/>
  <c r="F13" i="1"/>
  <c r="G13" i="1"/>
  <c r="H13" i="1"/>
  <c r="I13" i="1" s="1"/>
  <c r="F14" i="1"/>
  <c r="G14" i="1"/>
  <c r="H14" i="1"/>
  <c r="I14" i="1" s="1"/>
  <c r="F15" i="1"/>
  <c r="G15" i="1"/>
  <c r="H15" i="1"/>
  <c r="I15" i="1" s="1"/>
  <c r="F16" i="1"/>
  <c r="G16" i="1"/>
  <c r="H16" i="1"/>
  <c r="I16" i="1" s="1"/>
  <c r="F17" i="1"/>
  <c r="G17" i="1"/>
  <c r="H17" i="1"/>
  <c r="I17" i="1" s="1"/>
  <c r="F18" i="1"/>
  <c r="G18" i="1"/>
  <c r="H18" i="1"/>
  <c r="I18" i="1" s="1"/>
  <c r="F19" i="1"/>
  <c r="G19" i="1"/>
  <c r="H19" i="1"/>
  <c r="I19" i="1" s="1"/>
  <c r="F20" i="1"/>
  <c r="G20" i="1"/>
  <c r="H20" i="1"/>
  <c r="I20" i="1" s="1"/>
  <c r="F21" i="1"/>
  <c r="G21" i="1"/>
  <c r="H21" i="1"/>
  <c r="I21" i="1" s="1"/>
  <c r="F22" i="1"/>
  <c r="G22" i="1"/>
  <c r="H22" i="1"/>
  <c r="I22" i="1" s="1"/>
  <c r="F23" i="1"/>
  <c r="G23" i="1"/>
  <c r="H23" i="1"/>
  <c r="I23" i="1" s="1"/>
  <c r="F24" i="1"/>
  <c r="G24" i="1"/>
  <c r="H24" i="1"/>
  <c r="I24" i="1" s="1"/>
  <c r="F25" i="1"/>
  <c r="G25" i="1"/>
  <c r="H25" i="1"/>
  <c r="I25" i="1" s="1"/>
  <c r="F26" i="1"/>
  <c r="G26" i="1"/>
  <c r="H26" i="1"/>
  <c r="I26" i="1" s="1"/>
  <c r="F27" i="1"/>
  <c r="G27" i="1"/>
  <c r="H27" i="1"/>
  <c r="I27" i="1" s="1"/>
  <c r="F28" i="1"/>
  <c r="G28" i="1"/>
  <c r="H28" i="1"/>
  <c r="I28" i="1" s="1"/>
  <c r="F29" i="1"/>
  <c r="G29" i="1"/>
  <c r="H29" i="1"/>
  <c r="I29" i="1" s="1"/>
  <c r="F30" i="1"/>
  <c r="G30" i="1"/>
  <c r="H30" i="1"/>
  <c r="I30" i="1" s="1"/>
  <c r="F31" i="1"/>
  <c r="G31" i="1"/>
  <c r="H31" i="1"/>
  <c r="I31" i="1" s="1"/>
  <c r="F32" i="1"/>
  <c r="G32" i="1"/>
  <c r="H32" i="1"/>
  <c r="I32" i="1" s="1"/>
  <c r="F33" i="1"/>
  <c r="G33" i="1"/>
  <c r="H33" i="1"/>
  <c r="I33" i="1" s="1"/>
  <c r="F34" i="1"/>
  <c r="G34" i="1"/>
  <c r="H34" i="1"/>
  <c r="I34" i="1" s="1"/>
  <c r="F35" i="1"/>
  <c r="G35" i="1"/>
  <c r="H35" i="1"/>
  <c r="I35" i="1" s="1"/>
  <c r="F36" i="1"/>
  <c r="G36" i="1"/>
  <c r="H36" i="1"/>
  <c r="I36" i="1" s="1"/>
  <c r="F37" i="1"/>
  <c r="G37" i="1"/>
  <c r="H37" i="1"/>
  <c r="I37" i="1" s="1"/>
  <c r="F38" i="1"/>
  <c r="G38" i="1"/>
  <c r="H38" i="1"/>
  <c r="I38" i="1" s="1"/>
  <c r="F39" i="1"/>
  <c r="G39" i="1"/>
  <c r="H39" i="1"/>
  <c r="I39" i="1" s="1"/>
  <c r="F40" i="1"/>
  <c r="G40" i="1"/>
  <c r="H40" i="1"/>
  <c r="I40" i="1" s="1"/>
  <c r="F41" i="1"/>
  <c r="G41" i="1"/>
  <c r="H41" i="1"/>
  <c r="I41" i="1" s="1"/>
  <c r="F42" i="1"/>
  <c r="G42" i="1"/>
  <c r="H42" i="1"/>
  <c r="I42" i="1" s="1"/>
  <c r="F43" i="1"/>
  <c r="G43" i="1"/>
  <c r="H43" i="1"/>
  <c r="I43" i="1" s="1"/>
  <c r="F44" i="1"/>
  <c r="G44" i="1"/>
  <c r="H44" i="1"/>
  <c r="I44" i="1" s="1"/>
  <c r="F45" i="1"/>
  <c r="G45" i="1"/>
  <c r="H45" i="1"/>
  <c r="I45" i="1" s="1"/>
  <c r="F46" i="1"/>
  <c r="G46" i="1"/>
  <c r="H46" i="1"/>
  <c r="I46" i="1" s="1"/>
  <c r="F47" i="1"/>
  <c r="G47" i="1"/>
  <c r="H47" i="1"/>
  <c r="I47" i="1" s="1"/>
  <c r="F48" i="1"/>
  <c r="G48" i="1"/>
  <c r="H48" i="1"/>
  <c r="I48" i="1" s="1"/>
  <c r="F49" i="1"/>
  <c r="G49" i="1"/>
  <c r="H49" i="1"/>
  <c r="I49" i="1" s="1"/>
  <c r="F50" i="1"/>
  <c r="G50" i="1"/>
  <c r="H50" i="1"/>
  <c r="I50" i="1" s="1"/>
  <c r="F51" i="1"/>
  <c r="G51" i="1"/>
  <c r="H51" i="1"/>
  <c r="I51" i="1" s="1"/>
  <c r="F52" i="1"/>
  <c r="G52" i="1"/>
  <c r="H52" i="1"/>
  <c r="I52" i="1" s="1"/>
  <c r="F53" i="1"/>
  <c r="G53" i="1"/>
  <c r="H53" i="1"/>
  <c r="I53" i="1" s="1"/>
  <c r="F54" i="1"/>
  <c r="G54" i="1"/>
  <c r="H54" i="1"/>
  <c r="I54" i="1" s="1"/>
  <c r="F55" i="1"/>
  <c r="G55" i="1"/>
  <c r="H55" i="1"/>
  <c r="I55" i="1" s="1"/>
  <c r="F56" i="1"/>
  <c r="G56" i="1"/>
  <c r="H56" i="1"/>
  <c r="I56" i="1" s="1"/>
  <c r="F57" i="1"/>
  <c r="G57" i="1"/>
  <c r="H57" i="1"/>
  <c r="I57" i="1" s="1"/>
  <c r="F58" i="1"/>
  <c r="G58" i="1"/>
  <c r="H58" i="1"/>
  <c r="I58" i="1" s="1"/>
  <c r="F59" i="1"/>
  <c r="G59" i="1"/>
  <c r="H59" i="1"/>
  <c r="I59" i="1" s="1"/>
  <c r="F60" i="1"/>
  <c r="G60" i="1"/>
  <c r="H60" i="1"/>
  <c r="I60" i="1" s="1"/>
  <c r="F61" i="1"/>
  <c r="G61" i="1"/>
  <c r="H61" i="1"/>
  <c r="I61" i="1" s="1"/>
  <c r="F62" i="1"/>
  <c r="G62" i="1"/>
  <c r="H62" i="1"/>
  <c r="I62" i="1" s="1"/>
  <c r="F63" i="1"/>
  <c r="G63" i="1"/>
  <c r="H63" i="1"/>
  <c r="I63" i="1" s="1"/>
  <c r="F64" i="1"/>
  <c r="G64" i="1"/>
  <c r="H64" i="1"/>
  <c r="I64" i="1" s="1"/>
  <c r="F65" i="1"/>
  <c r="G65" i="1"/>
  <c r="H65" i="1"/>
  <c r="I65" i="1" s="1"/>
  <c r="F66" i="1"/>
  <c r="G66" i="1"/>
  <c r="H66" i="1"/>
  <c r="I66" i="1" s="1"/>
  <c r="F67" i="1"/>
  <c r="G67" i="1"/>
  <c r="H67" i="1"/>
  <c r="I67" i="1" s="1"/>
  <c r="F68" i="1"/>
  <c r="G68" i="1"/>
  <c r="H68" i="1"/>
  <c r="I68" i="1" s="1"/>
  <c r="F69" i="1"/>
  <c r="G69" i="1"/>
  <c r="H69" i="1"/>
  <c r="I69" i="1" s="1"/>
  <c r="F70" i="1"/>
  <c r="G70" i="1"/>
  <c r="H70" i="1"/>
  <c r="I70" i="1" s="1"/>
  <c r="F71" i="1"/>
  <c r="G71" i="1"/>
  <c r="H71" i="1"/>
  <c r="I71" i="1" s="1"/>
  <c r="F72" i="1"/>
  <c r="G72" i="1"/>
  <c r="H72" i="1"/>
  <c r="I72" i="1" s="1"/>
  <c r="F73" i="1"/>
  <c r="G73" i="1"/>
  <c r="H73" i="1"/>
  <c r="I73" i="1" s="1"/>
  <c r="F74" i="1"/>
  <c r="G74" i="1"/>
  <c r="H74" i="1"/>
  <c r="I74" i="1" s="1"/>
  <c r="F75" i="1"/>
  <c r="G75" i="1"/>
  <c r="H75" i="1"/>
  <c r="I75" i="1" s="1"/>
  <c r="F76" i="1"/>
  <c r="G76" i="1"/>
  <c r="H76" i="1"/>
  <c r="I76" i="1" s="1"/>
  <c r="F77" i="1"/>
  <c r="G77" i="1"/>
  <c r="H77" i="1"/>
  <c r="I77" i="1" s="1"/>
  <c r="F78" i="1"/>
  <c r="G78" i="1"/>
  <c r="H78" i="1"/>
  <c r="I78" i="1" s="1"/>
  <c r="F79" i="1"/>
  <c r="G79" i="1"/>
  <c r="H79" i="1"/>
  <c r="I79" i="1" s="1"/>
  <c r="F80" i="1"/>
  <c r="G80" i="1"/>
  <c r="H80" i="1"/>
  <c r="I80" i="1" s="1"/>
  <c r="F81" i="1"/>
  <c r="G81" i="1"/>
  <c r="H81" i="1"/>
  <c r="I81" i="1" s="1"/>
  <c r="F82" i="1"/>
  <c r="G82" i="1"/>
  <c r="H82" i="1"/>
  <c r="I82" i="1" s="1"/>
  <c r="F83" i="1"/>
  <c r="G83" i="1"/>
  <c r="H83" i="1"/>
  <c r="I83" i="1" s="1"/>
  <c r="F84" i="1"/>
  <c r="G84" i="1"/>
  <c r="H84" i="1"/>
  <c r="I84" i="1" s="1"/>
  <c r="F85" i="1"/>
  <c r="G85" i="1"/>
  <c r="H85" i="1"/>
  <c r="I85" i="1" s="1"/>
  <c r="F86" i="1"/>
  <c r="G86" i="1"/>
  <c r="H86" i="1"/>
  <c r="I86" i="1" s="1"/>
  <c r="F87" i="1"/>
  <c r="G87" i="1"/>
  <c r="H87" i="1"/>
  <c r="I87" i="1" s="1"/>
  <c r="F88" i="1"/>
  <c r="G88" i="1"/>
  <c r="H88" i="1"/>
  <c r="I88" i="1" s="1"/>
  <c r="F89" i="1"/>
  <c r="G89" i="1"/>
  <c r="H89" i="1"/>
  <c r="I89" i="1" s="1"/>
  <c r="F90" i="1"/>
  <c r="G90" i="1"/>
  <c r="H90" i="1"/>
  <c r="I90" i="1" s="1"/>
  <c r="F91" i="1"/>
  <c r="G91" i="1"/>
  <c r="H91" i="1"/>
  <c r="I91" i="1" s="1"/>
  <c r="F92" i="1"/>
  <c r="G92" i="1"/>
  <c r="H92" i="1"/>
  <c r="I92" i="1" s="1"/>
  <c r="F93" i="1"/>
  <c r="G93" i="1"/>
  <c r="H93" i="1"/>
  <c r="I93" i="1" s="1"/>
  <c r="F94" i="1"/>
  <c r="G94" i="1"/>
  <c r="H94" i="1"/>
  <c r="I94" i="1" s="1"/>
  <c r="F95" i="1"/>
  <c r="G95" i="1"/>
  <c r="H95" i="1"/>
  <c r="I95" i="1" s="1"/>
  <c r="F96" i="1"/>
  <c r="G96" i="1"/>
  <c r="H96" i="1"/>
  <c r="I96" i="1" s="1"/>
  <c r="F97" i="1"/>
  <c r="G97" i="1"/>
  <c r="H97" i="1"/>
  <c r="I97" i="1" s="1"/>
  <c r="F98" i="1"/>
  <c r="G98" i="1"/>
  <c r="H98" i="1"/>
  <c r="I98" i="1" s="1"/>
  <c r="F99" i="1"/>
  <c r="G99" i="1"/>
  <c r="H99" i="1"/>
  <c r="I99" i="1" s="1"/>
  <c r="F100" i="1"/>
  <c r="G100" i="1"/>
  <c r="H100" i="1"/>
  <c r="I100" i="1" s="1"/>
  <c r="F101" i="1"/>
  <c r="G101" i="1"/>
  <c r="H101" i="1"/>
  <c r="I101" i="1" s="1"/>
  <c r="F102" i="1"/>
  <c r="G102" i="1"/>
  <c r="H102" i="1"/>
  <c r="I102" i="1" s="1"/>
  <c r="F103" i="1"/>
  <c r="G103" i="1"/>
  <c r="H103" i="1"/>
  <c r="I103" i="1" s="1"/>
  <c r="F104" i="1"/>
  <c r="G104" i="1"/>
  <c r="H104" i="1"/>
  <c r="I104" i="1" s="1"/>
  <c r="F105" i="1"/>
  <c r="G105" i="1"/>
  <c r="H105" i="1"/>
  <c r="I105" i="1" s="1"/>
  <c r="F106" i="1"/>
  <c r="G106" i="1"/>
  <c r="H106" i="1"/>
  <c r="I106" i="1" s="1"/>
  <c r="F107" i="1"/>
  <c r="G107" i="1"/>
  <c r="H107" i="1"/>
  <c r="I107" i="1" s="1"/>
  <c r="F108" i="1"/>
  <c r="G108" i="1"/>
  <c r="H108" i="1"/>
  <c r="I108" i="1" s="1"/>
  <c r="F109" i="1"/>
  <c r="G109" i="1"/>
  <c r="H109" i="1"/>
  <c r="I109" i="1" s="1"/>
  <c r="F110" i="1"/>
  <c r="G110" i="1"/>
  <c r="H110" i="1"/>
  <c r="I110" i="1" s="1"/>
  <c r="F111" i="1"/>
  <c r="G111" i="1"/>
  <c r="H111" i="1"/>
  <c r="I111" i="1" s="1"/>
  <c r="F112" i="1"/>
  <c r="G112" i="1"/>
  <c r="H112" i="1"/>
  <c r="I112" i="1" s="1"/>
  <c r="F113" i="1"/>
  <c r="G113" i="1"/>
  <c r="H113" i="1"/>
  <c r="I113" i="1" s="1"/>
  <c r="F114" i="1"/>
  <c r="G114" i="1"/>
  <c r="H114" i="1"/>
  <c r="I114" i="1" s="1"/>
  <c r="F115" i="1"/>
  <c r="G115" i="1"/>
  <c r="H115" i="1"/>
  <c r="I115" i="1" s="1"/>
  <c r="F116" i="1"/>
  <c r="G116" i="1"/>
  <c r="H116" i="1"/>
  <c r="I116" i="1" s="1"/>
  <c r="F117" i="1"/>
  <c r="G117" i="1"/>
  <c r="H117" i="1"/>
  <c r="I117" i="1" s="1"/>
  <c r="F118" i="1"/>
  <c r="G118" i="1"/>
  <c r="H118" i="1"/>
  <c r="I118" i="1" s="1"/>
  <c r="F119" i="1"/>
  <c r="G119" i="1"/>
  <c r="H119" i="1"/>
  <c r="I119" i="1" s="1"/>
  <c r="F120" i="1"/>
  <c r="G120" i="1"/>
  <c r="H120" i="1"/>
  <c r="I120" i="1" s="1"/>
  <c r="F121" i="1"/>
  <c r="G121" i="1"/>
  <c r="H121" i="1"/>
  <c r="I121" i="1" s="1"/>
  <c r="F122" i="1"/>
  <c r="G122" i="1"/>
  <c r="H122" i="1"/>
  <c r="I122" i="1" s="1"/>
  <c r="F123" i="1"/>
  <c r="G123" i="1"/>
  <c r="H123" i="1"/>
  <c r="I123" i="1" s="1"/>
  <c r="F124" i="1"/>
  <c r="G124" i="1"/>
  <c r="H124" i="1"/>
  <c r="I124" i="1" s="1"/>
  <c r="F125" i="1"/>
  <c r="G125" i="1"/>
  <c r="H125" i="1"/>
  <c r="I125" i="1" s="1"/>
  <c r="F126" i="1"/>
  <c r="G126" i="1"/>
  <c r="H126" i="1"/>
  <c r="I126" i="1" s="1"/>
  <c r="F127" i="1"/>
  <c r="G127" i="1"/>
  <c r="H127" i="1"/>
  <c r="I127" i="1" s="1"/>
  <c r="F128" i="1"/>
  <c r="G128" i="1"/>
  <c r="H128" i="1"/>
  <c r="I128" i="1" s="1"/>
  <c r="F129" i="1"/>
  <c r="G129" i="1"/>
  <c r="H129" i="1"/>
  <c r="I129" i="1" s="1"/>
  <c r="F130" i="1"/>
  <c r="G130" i="1"/>
  <c r="H130" i="1"/>
  <c r="I130" i="1" s="1"/>
  <c r="F131" i="1"/>
  <c r="G131" i="1"/>
  <c r="H131" i="1"/>
  <c r="I131" i="1" s="1"/>
  <c r="F132" i="1"/>
  <c r="G132" i="1"/>
  <c r="H132" i="1"/>
  <c r="I132" i="1" s="1"/>
  <c r="F133" i="1"/>
  <c r="G133" i="1"/>
  <c r="H133" i="1"/>
  <c r="I133" i="1" s="1"/>
  <c r="F134" i="1"/>
  <c r="G134" i="1"/>
  <c r="H134" i="1"/>
  <c r="I134" i="1" s="1"/>
  <c r="F135" i="1"/>
  <c r="G135" i="1"/>
  <c r="H135" i="1"/>
  <c r="I135" i="1" s="1"/>
  <c r="F136" i="1"/>
  <c r="G136" i="1"/>
  <c r="H136" i="1"/>
  <c r="I136" i="1" s="1"/>
  <c r="F137" i="1"/>
  <c r="G137" i="1"/>
  <c r="H137" i="1"/>
  <c r="I137" i="1" s="1"/>
  <c r="F138" i="1"/>
  <c r="G138" i="1"/>
  <c r="H138" i="1"/>
  <c r="I138" i="1" s="1"/>
  <c r="F139" i="1"/>
  <c r="G139" i="1"/>
  <c r="H139" i="1"/>
  <c r="I139" i="1" s="1"/>
  <c r="F140" i="1"/>
  <c r="G140" i="1"/>
  <c r="H140" i="1"/>
  <c r="I140" i="1" s="1"/>
  <c r="F141" i="1"/>
  <c r="G141" i="1"/>
  <c r="H141" i="1"/>
  <c r="I141" i="1" s="1"/>
  <c r="F142" i="1"/>
  <c r="G142" i="1"/>
  <c r="H142" i="1"/>
  <c r="I142" i="1" s="1"/>
  <c r="F143" i="1"/>
  <c r="G143" i="1"/>
  <c r="H143" i="1"/>
  <c r="I143" i="1" s="1"/>
  <c r="F144" i="1"/>
  <c r="G144" i="1"/>
  <c r="H144" i="1"/>
  <c r="I144" i="1" s="1"/>
  <c r="F145" i="1"/>
  <c r="G145" i="1"/>
  <c r="H145" i="1"/>
  <c r="I145" i="1" s="1"/>
  <c r="F146" i="1"/>
  <c r="G146" i="1"/>
  <c r="H146" i="1"/>
  <c r="I146" i="1" s="1"/>
  <c r="F147" i="1"/>
  <c r="G147" i="1"/>
  <c r="H147" i="1"/>
  <c r="I147" i="1" s="1"/>
  <c r="F148" i="1"/>
  <c r="G148" i="1"/>
  <c r="H148" i="1"/>
  <c r="I148" i="1" s="1"/>
  <c r="F149" i="1"/>
  <c r="G149" i="1"/>
  <c r="H149" i="1"/>
  <c r="I149" i="1" s="1"/>
  <c r="F150" i="1"/>
  <c r="G150" i="1"/>
  <c r="H150" i="1"/>
  <c r="I150" i="1" s="1"/>
  <c r="F151" i="1"/>
  <c r="G151" i="1"/>
  <c r="H151" i="1"/>
  <c r="I151" i="1" s="1"/>
  <c r="F152" i="1"/>
  <c r="G152" i="1"/>
  <c r="H152" i="1"/>
  <c r="I152" i="1" s="1"/>
  <c r="F153" i="1"/>
  <c r="G153" i="1"/>
  <c r="H153" i="1"/>
  <c r="I153" i="1" s="1"/>
  <c r="F154" i="1"/>
  <c r="G154" i="1"/>
  <c r="H154" i="1"/>
  <c r="I154" i="1" s="1"/>
  <c r="F155" i="1"/>
  <c r="G155" i="1"/>
  <c r="H155" i="1"/>
  <c r="I155" i="1" s="1"/>
  <c r="F156" i="1"/>
  <c r="G156" i="1"/>
  <c r="H156" i="1"/>
  <c r="I156" i="1" s="1"/>
  <c r="F157" i="1"/>
  <c r="G157" i="1"/>
  <c r="H157" i="1"/>
  <c r="I157" i="1" s="1"/>
  <c r="F158" i="1"/>
  <c r="G158" i="1"/>
  <c r="H158" i="1"/>
  <c r="I158" i="1" s="1"/>
  <c r="F159" i="1"/>
  <c r="G159" i="1"/>
  <c r="H159" i="1"/>
  <c r="I159" i="1" s="1"/>
  <c r="F160" i="1"/>
  <c r="G160" i="1"/>
  <c r="H160" i="1"/>
  <c r="I160" i="1" s="1"/>
  <c r="F161" i="1"/>
  <c r="G161" i="1"/>
  <c r="H161" i="1"/>
  <c r="I161" i="1" s="1"/>
  <c r="F162" i="1"/>
  <c r="G162" i="1"/>
  <c r="H162" i="1"/>
  <c r="I162" i="1" s="1"/>
  <c r="F163" i="1"/>
  <c r="G163" i="1"/>
  <c r="H163" i="1"/>
  <c r="I163" i="1" s="1"/>
  <c r="F164" i="1"/>
  <c r="G164" i="1"/>
  <c r="H164" i="1"/>
  <c r="I164" i="1" s="1"/>
  <c r="F165" i="1"/>
  <c r="G165" i="1"/>
  <c r="H165" i="1"/>
  <c r="I165" i="1" s="1"/>
  <c r="F166" i="1"/>
  <c r="G166" i="1"/>
  <c r="H166" i="1"/>
  <c r="I166" i="1" s="1"/>
  <c r="F167" i="1"/>
  <c r="G167" i="1"/>
  <c r="H167" i="1"/>
  <c r="I167" i="1" s="1"/>
  <c r="F168" i="1"/>
  <c r="G168" i="1"/>
  <c r="H168" i="1"/>
  <c r="I168" i="1" s="1"/>
  <c r="F169" i="1"/>
  <c r="G169" i="1"/>
  <c r="H169" i="1"/>
  <c r="I169" i="1" s="1"/>
  <c r="F170" i="1"/>
  <c r="G170" i="1"/>
  <c r="H170" i="1"/>
  <c r="I170" i="1" s="1"/>
  <c r="F171" i="1"/>
  <c r="G171" i="1"/>
  <c r="H171" i="1"/>
  <c r="I171" i="1" s="1"/>
  <c r="F172" i="1"/>
  <c r="G172" i="1"/>
  <c r="H172" i="1"/>
  <c r="I172" i="1" s="1"/>
  <c r="F173" i="1"/>
  <c r="G173" i="1"/>
  <c r="H173" i="1"/>
  <c r="I173" i="1" s="1"/>
  <c r="F174" i="1"/>
  <c r="G174" i="1"/>
  <c r="H174" i="1"/>
  <c r="I174" i="1" s="1"/>
  <c r="F175" i="1"/>
  <c r="G175" i="1"/>
  <c r="H175" i="1"/>
  <c r="I175" i="1" s="1"/>
  <c r="F176" i="1"/>
  <c r="G176" i="1"/>
  <c r="H176" i="1"/>
  <c r="I176" i="1" s="1"/>
  <c r="F177" i="1"/>
  <c r="G177" i="1"/>
  <c r="H177" i="1"/>
  <c r="I177" i="1" s="1"/>
  <c r="F178" i="1"/>
  <c r="G178" i="1"/>
  <c r="H178" i="1"/>
  <c r="I178" i="1" s="1"/>
  <c r="F179" i="1"/>
  <c r="G179" i="1"/>
  <c r="H179" i="1"/>
  <c r="I179" i="1" s="1"/>
  <c r="F180" i="1"/>
  <c r="G180" i="1"/>
  <c r="H180" i="1"/>
  <c r="I180" i="1" s="1"/>
  <c r="F181" i="1"/>
  <c r="G181" i="1"/>
  <c r="H181" i="1"/>
  <c r="I181" i="1" s="1"/>
  <c r="F182" i="1"/>
  <c r="G182" i="1"/>
  <c r="H182" i="1"/>
  <c r="I182" i="1" s="1"/>
  <c r="F183" i="1"/>
  <c r="G183" i="1"/>
  <c r="H183" i="1"/>
  <c r="I183" i="1" s="1"/>
  <c r="F184" i="1"/>
  <c r="G184" i="1"/>
  <c r="H184" i="1"/>
  <c r="I184" i="1" s="1"/>
  <c r="F185" i="1"/>
  <c r="G185" i="1"/>
  <c r="H185" i="1"/>
  <c r="I185" i="1" s="1"/>
  <c r="F186" i="1"/>
  <c r="G186" i="1"/>
  <c r="H186" i="1"/>
  <c r="I186" i="1" s="1"/>
  <c r="F187" i="1"/>
  <c r="G187" i="1"/>
  <c r="H187" i="1"/>
  <c r="I187" i="1" s="1"/>
  <c r="F188" i="1"/>
  <c r="G188" i="1"/>
  <c r="H188" i="1"/>
  <c r="I188" i="1" s="1"/>
  <c r="F189" i="1"/>
  <c r="G189" i="1"/>
  <c r="H189" i="1"/>
  <c r="I189" i="1" s="1"/>
  <c r="F190" i="1"/>
  <c r="G190" i="1"/>
  <c r="H190" i="1"/>
  <c r="I190" i="1" s="1"/>
  <c r="F191" i="1"/>
  <c r="G191" i="1"/>
  <c r="H191" i="1"/>
  <c r="I191" i="1" s="1"/>
  <c r="F192" i="1"/>
  <c r="G192" i="1"/>
  <c r="H192" i="1"/>
  <c r="I192" i="1" s="1"/>
  <c r="F193" i="1"/>
  <c r="G193" i="1"/>
  <c r="H193" i="1"/>
  <c r="I193" i="1" s="1"/>
  <c r="F194" i="1"/>
  <c r="G194" i="1"/>
  <c r="H194" i="1"/>
  <c r="I194" i="1" s="1"/>
  <c r="F195" i="1"/>
  <c r="G195" i="1"/>
  <c r="H195" i="1"/>
  <c r="I195" i="1" s="1"/>
  <c r="F196" i="1"/>
  <c r="G196" i="1"/>
  <c r="H196" i="1"/>
  <c r="I196" i="1" s="1"/>
  <c r="F197" i="1"/>
  <c r="G197" i="1"/>
  <c r="H197" i="1"/>
  <c r="I197" i="1" s="1"/>
  <c r="F198" i="1"/>
  <c r="G198" i="1"/>
  <c r="H198" i="1"/>
  <c r="I198" i="1" s="1"/>
  <c r="F199" i="1"/>
  <c r="G199" i="1"/>
  <c r="H199" i="1"/>
  <c r="I199" i="1" s="1"/>
  <c r="F200" i="1"/>
  <c r="G200" i="1"/>
  <c r="H200" i="1"/>
  <c r="I200" i="1" s="1"/>
  <c r="F201" i="1"/>
  <c r="G201" i="1"/>
  <c r="H201" i="1"/>
  <c r="I201" i="1" s="1"/>
  <c r="F202" i="1"/>
  <c r="G202" i="1"/>
  <c r="H202" i="1"/>
  <c r="I202" i="1" s="1"/>
  <c r="F203" i="1"/>
  <c r="G203" i="1"/>
  <c r="H203" i="1"/>
  <c r="I203" i="1" s="1"/>
  <c r="F204" i="1"/>
  <c r="G204" i="1"/>
  <c r="H204" i="1"/>
  <c r="I204" i="1" s="1"/>
  <c r="F205" i="1"/>
  <c r="G205" i="1"/>
  <c r="H205" i="1"/>
  <c r="I205" i="1" s="1"/>
  <c r="F206" i="1"/>
  <c r="G206" i="1"/>
  <c r="H206" i="1"/>
  <c r="I206" i="1" s="1"/>
  <c r="F207" i="1"/>
  <c r="G207" i="1"/>
  <c r="H207" i="1"/>
  <c r="I207" i="1" s="1"/>
  <c r="F208" i="1"/>
  <c r="G208" i="1"/>
  <c r="H208" i="1"/>
  <c r="I208" i="1" s="1"/>
  <c r="F209" i="1"/>
  <c r="G209" i="1"/>
  <c r="H209" i="1"/>
  <c r="I209" i="1" s="1"/>
  <c r="F210" i="1"/>
  <c r="G210" i="1"/>
  <c r="H210" i="1"/>
  <c r="I210" i="1" s="1"/>
  <c r="F211" i="1"/>
  <c r="G211" i="1"/>
  <c r="H211" i="1"/>
  <c r="I211" i="1" s="1"/>
  <c r="F212" i="1"/>
  <c r="G212" i="1"/>
  <c r="H212" i="1"/>
  <c r="I212" i="1" s="1"/>
  <c r="F213" i="1"/>
  <c r="G213" i="1"/>
  <c r="H213" i="1"/>
  <c r="I213" i="1" s="1"/>
  <c r="F214" i="1"/>
  <c r="G214" i="1"/>
  <c r="H214" i="1"/>
  <c r="I214" i="1" s="1"/>
  <c r="F215" i="1"/>
  <c r="G215" i="1"/>
  <c r="H215" i="1"/>
  <c r="I215" i="1" s="1"/>
  <c r="F216" i="1"/>
  <c r="G216" i="1"/>
  <c r="H216" i="1"/>
  <c r="I216" i="1" s="1"/>
  <c r="F217" i="1"/>
  <c r="G217" i="1"/>
  <c r="H217" i="1"/>
  <c r="I217" i="1" s="1"/>
  <c r="F218" i="1"/>
  <c r="G218" i="1"/>
  <c r="H218" i="1"/>
  <c r="I218" i="1" s="1"/>
  <c r="F219" i="1"/>
  <c r="G219" i="1"/>
  <c r="H219" i="1"/>
  <c r="I219" i="1" s="1"/>
  <c r="F220" i="1"/>
  <c r="G220" i="1"/>
  <c r="H220" i="1"/>
  <c r="I220" i="1" s="1"/>
  <c r="F221" i="1"/>
  <c r="G221" i="1"/>
  <c r="H221" i="1"/>
  <c r="I221" i="1" s="1"/>
  <c r="F222" i="1"/>
  <c r="G222" i="1"/>
  <c r="H222" i="1"/>
  <c r="I222" i="1" s="1"/>
  <c r="F223" i="1"/>
  <c r="G223" i="1"/>
  <c r="H223" i="1"/>
  <c r="I223" i="1" s="1"/>
  <c r="F224" i="1"/>
  <c r="G224" i="1"/>
  <c r="H224" i="1"/>
  <c r="I224" i="1" s="1"/>
  <c r="F225" i="1"/>
  <c r="G225" i="1"/>
  <c r="H225" i="1"/>
  <c r="I225" i="1" s="1"/>
  <c r="F226" i="1"/>
  <c r="G226" i="1"/>
  <c r="H226" i="1"/>
  <c r="I226" i="1" s="1"/>
  <c r="F227" i="1"/>
  <c r="G227" i="1"/>
  <c r="H227" i="1"/>
  <c r="I227" i="1" s="1"/>
  <c r="F228" i="1"/>
  <c r="G228" i="1"/>
  <c r="H228" i="1"/>
  <c r="I228" i="1" s="1"/>
  <c r="F229" i="1"/>
  <c r="G229" i="1"/>
  <c r="H229" i="1"/>
  <c r="I229" i="1" s="1"/>
  <c r="F230" i="1"/>
  <c r="G230" i="1"/>
  <c r="H230" i="1"/>
  <c r="I230" i="1" s="1"/>
  <c r="F231" i="1"/>
  <c r="G231" i="1"/>
  <c r="H231" i="1"/>
  <c r="I231" i="1" s="1"/>
  <c r="F232" i="1"/>
  <c r="G232" i="1"/>
  <c r="H232" i="1"/>
  <c r="I232" i="1" s="1"/>
  <c r="F233" i="1"/>
  <c r="G233" i="1"/>
  <c r="H233" i="1"/>
  <c r="I233" i="1" s="1"/>
  <c r="F234" i="1"/>
  <c r="G234" i="1"/>
  <c r="H234" i="1"/>
  <c r="I234" i="1" s="1"/>
  <c r="F235" i="1"/>
  <c r="G235" i="1"/>
  <c r="H235" i="1"/>
  <c r="I235" i="1" s="1"/>
  <c r="F236" i="1"/>
  <c r="G236" i="1"/>
  <c r="H236" i="1"/>
  <c r="I236" i="1" s="1"/>
  <c r="F237" i="1"/>
  <c r="G237" i="1"/>
  <c r="H237" i="1"/>
  <c r="I237" i="1" s="1"/>
  <c r="F238" i="1"/>
  <c r="G238" i="1"/>
  <c r="H238" i="1"/>
  <c r="I238" i="1" s="1"/>
  <c r="F239" i="1"/>
  <c r="G239" i="1"/>
  <c r="H239" i="1"/>
  <c r="I239" i="1" s="1"/>
  <c r="F240" i="1"/>
  <c r="G240" i="1"/>
  <c r="H240" i="1"/>
  <c r="I240" i="1" s="1"/>
  <c r="F241" i="1"/>
  <c r="G241" i="1"/>
  <c r="H241" i="1"/>
  <c r="I241" i="1" s="1"/>
  <c r="F242" i="1"/>
  <c r="G242" i="1"/>
  <c r="H242" i="1"/>
  <c r="I242" i="1" s="1"/>
  <c r="F243" i="1"/>
  <c r="G243" i="1"/>
  <c r="H243" i="1"/>
  <c r="I243" i="1" s="1"/>
  <c r="F244" i="1"/>
  <c r="G244" i="1"/>
  <c r="H244" i="1"/>
  <c r="I244" i="1" s="1"/>
  <c r="F245" i="1"/>
  <c r="G245" i="1"/>
  <c r="H245" i="1"/>
  <c r="I245" i="1" s="1"/>
  <c r="F246" i="1"/>
  <c r="G246" i="1"/>
  <c r="H246" i="1"/>
  <c r="I246" i="1" s="1"/>
  <c r="F247" i="1"/>
  <c r="G247" i="1"/>
  <c r="H247" i="1"/>
  <c r="I247" i="1" s="1"/>
  <c r="F248" i="1"/>
  <c r="G248" i="1"/>
  <c r="H248" i="1"/>
  <c r="I248" i="1" s="1"/>
  <c r="F249" i="1"/>
  <c r="G249" i="1"/>
  <c r="H249" i="1"/>
  <c r="I249" i="1" s="1"/>
  <c r="F250" i="1"/>
  <c r="G250" i="1"/>
  <c r="H250" i="1"/>
  <c r="I250" i="1" s="1"/>
  <c r="F251" i="1"/>
  <c r="G251" i="1"/>
  <c r="H251" i="1"/>
  <c r="I251" i="1" s="1"/>
  <c r="F252" i="1"/>
  <c r="G252" i="1"/>
  <c r="H252" i="1"/>
  <c r="I252" i="1" s="1"/>
  <c r="F253" i="1"/>
  <c r="G253" i="1"/>
  <c r="H253" i="1"/>
  <c r="I253" i="1" s="1"/>
  <c r="F254" i="1"/>
  <c r="G254" i="1"/>
  <c r="H254" i="1"/>
  <c r="I254" i="1" s="1"/>
  <c r="F255" i="1"/>
  <c r="G255" i="1"/>
  <c r="H255" i="1"/>
  <c r="I255" i="1" s="1"/>
  <c r="F256" i="1"/>
  <c r="G256" i="1"/>
  <c r="H256" i="1"/>
  <c r="I256" i="1" s="1"/>
  <c r="F257" i="1"/>
  <c r="G257" i="1"/>
  <c r="H257" i="1"/>
  <c r="I257" i="1" s="1"/>
  <c r="F258" i="1"/>
  <c r="G258" i="1"/>
  <c r="H258" i="1"/>
  <c r="I258" i="1" s="1"/>
  <c r="F259" i="1"/>
  <c r="G259" i="1"/>
  <c r="H259" i="1"/>
  <c r="I259" i="1" s="1"/>
  <c r="F260" i="1"/>
  <c r="G260" i="1"/>
  <c r="H260" i="1"/>
  <c r="I260" i="1" s="1"/>
  <c r="F261" i="1"/>
  <c r="G261" i="1"/>
  <c r="H261" i="1"/>
  <c r="I261" i="1" s="1"/>
  <c r="F262" i="1"/>
  <c r="G262" i="1"/>
  <c r="H262" i="1"/>
  <c r="I262" i="1" s="1"/>
  <c r="F263" i="1"/>
  <c r="G263" i="1"/>
  <c r="H263" i="1"/>
  <c r="I263" i="1" s="1"/>
  <c r="F264" i="1"/>
  <c r="G264" i="1"/>
  <c r="H264" i="1"/>
  <c r="I264" i="1" s="1"/>
  <c r="F265" i="1"/>
  <c r="G265" i="1"/>
  <c r="H265" i="1"/>
  <c r="I265" i="1" s="1"/>
  <c r="F266" i="1"/>
  <c r="G266" i="1"/>
  <c r="H266" i="1"/>
  <c r="I266" i="1" s="1"/>
  <c r="F267" i="1"/>
  <c r="G267" i="1"/>
  <c r="H267" i="1"/>
  <c r="I267" i="1" s="1"/>
  <c r="F268" i="1"/>
  <c r="G268" i="1"/>
  <c r="H268" i="1"/>
  <c r="I268" i="1" s="1"/>
  <c r="F269" i="1"/>
  <c r="G269" i="1"/>
  <c r="H269" i="1"/>
  <c r="I269" i="1" s="1"/>
  <c r="F270" i="1"/>
  <c r="G270" i="1"/>
  <c r="H270" i="1"/>
  <c r="I270" i="1" s="1"/>
  <c r="F271" i="1"/>
  <c r="G271" i="1"/>
  <c r="H271" i="1"/>
  <c r="I271" i="1" s="1"/>
  <c r="F272" i="1"/>
  <c r="G272" i="1"/>
  <c r="H272" i="1"/>
  <c r="I272" i="1" s="1"/>
  <c r="F273" i="1"/>
  <c r="G273" i="1"/>
  <c r="H273" i="1"/>
  <c r="I273" i="1" s="1"/>
  <c r="F274" i="1"/>
  <c r="G274" i="1"/>
  <c r="H274" i="1"/>
  <c r="I274" i="1" s="1"/>
  <c r="F275" i="1"/>
  <c r="G275" i="1"/>
  <c r="H275" i="1"/>
  <c r="I275" i="1" s="1"/>
  <c r="F276" i="1"/>
  <c r="G276" i="1"/>
  <c r="H276" i="1"/>
  <c r="I276" i="1" s="1"/>
  <c r="F277" i="1"/>
  <c r="G277" i="1"/>
  <c r="H277" i="1"/>
  <c r="I277" i="1" s="1"/>
  <c r="F278" i="1"/>
  <c r="G278" i="1"/>
  <c r="H278" i="1"/>
  <c r="I278" i="1" s="1"/>
  <c r="F279" i="1"/>
  <c r="G279" i="1"/>
  <c r="H279" i="1"/>
  <c r="I279" i="1" s="1"/>
  <c r="F280" i="1"/>
  <c r="G280" i="1"/>
  <c r="H280" i="1"/>
  <c r="I280" i="1" s="1"/>
  <c r="F281" i="1"/>
  <c r="G281" i="1"/>
  <c r="H281" i="1"/>
  <c r="I281" i="1" s="1"/>
  <c r="F282" i="1"/>
  <c r="G282" i="1"/>
  <c r="H282" i="1"/>
  <c r="I282" i="1" s="1"/>
  <c r="F283" i="1"/>
  <c r="G283" i="1"/>
  <c r="H283" i="1"/>
  <c r="I283" i="1" s="1"/>
  <c r="F284" i="1"/>
  <c r="G284" i="1"/>
  <c r="H284" i="1"/>
  <c r="I284" i="1" s="1"/>
  <c r="F285" i="1"/>
  <c r="G285" i="1"/>
  <c r="H285" i="1"/>
  <c r="I285" i="1" s="1"/>
  <c r="F286" i="1"/>
  <c r="G286" i="1"/>
  <c r="H286" i="1"/>
  <c r="I286" i="1" s="1"/>
  <c r="F287" i="1"/>
  <c r="G287" i="1"/>
  <c r="H287" i="1"/>
  <c r="I287" i="1" s="1"/>
  <c r="F288" i="1"/>
  <c r="G288" i="1"/>
  <c r="H288" i="1"/>
  <c r="I288" i="1" s="1"/>
  <c r="F289" i="1"/>
  <c r="G289" i="1"/>
  <c r="H289" i="1"/>
  <c r="I289" i="1" s="1"/>
  <c r="F290" i="1"/>
  <c r="G290" i="1"/>
  <c r="H290" i="1"/>
  <c r="I290" i="1" s="1"/>
  <c r="F291" i="1"/>
  <c r="G291" i="1"/>
  <c r="H291" i="1"/>
  <c r="I291" i="1" s="1"/>
  <c r="F292" i="1"/>
  <c r="G292" i="1"/>
  <c r="H292" i="1"/>
  <c r="I292" i="1" s="1"/>
  <c r="F293" i="1"/>
  <c r="G293" i="1"/>
  <c r="H293" i="1"/>
  <c r="I293" i="1" s="1"/>
  <c r="F294" i="1"/>
  <c r="G294" i="1"/>
  <c r="H294" i="1"/>
  <c r="I294" i="1" s="1"/>
  <c r="F295" i="1"/>
  <c r="G295" i="1"/>
  <c r="H295" i="1"/>
  <c r="I295" i="1" s="1"/>
  <c r="F296" i="1"/>
  <c r="G296" i="1"/>
  <c r="H296" i="1"/>
  <c r="I296" i="1" s="1"/>
  <c r="F297" i="1"/>
  <c r="G297" i="1"/>
  <c r="H297" i="1"/>
  <c r="I297" i="1" s="1"/>
  <c r="F298" i="1"/>
  <c r="G298" i="1"/>
  <c r="H298" i="1"/>
  <c r="I298" i="1" s="1"/>
  <c r="F299" i="1"/>
  <c r="G299" i="1"/>
  <c r="H299" i="1"/>
  <c r="I299" i="1" s="1"/>
  <c r="F300" i="1"/>
  <c r="G300" i="1"/>
  <c r="H300" i="1"/>
  <c r="I300" i="1" s="1"/>
  <c r="F301" i="1"/>
  <c r="G301" i="1"/>
  <c r="H301" i="1"/>
  <c r="I301" i="1" s="1"/>
  <c r="F302" i="1"/>
  <c r="G302" i="1"/>
  <c r="H302" i="1"/>
  <c r="I302" i="1" s="1"/>
  <c r="F303" i="1"/>
  <c r="G303" i="1"/>
  <c r="H303" i="1"/>
  <c r="I303" i="1" s="1"/>
  <c r="F304" i="1"/>
  <c r="G304" i="1"/>
  <c r="H304" i="1"/>
  <c r="I304" i="1" s="1"/>
  <c r="F305" i="1"/>
  <c r="G305" i="1"/>
  <c r="H305" i="1"/>
  <c r="I305" i="1" s="1"/>
  <c r="F306" i="1"/>
  <c r="G306" i="1"/>
  <c r="H306" i="1"/>
  <c r="I306" i="1" s="1"/>
  <c r="F307" i="1"/>
  <c r="G307" i="1"/>
  <c r="H307" i="1"/>
  <c r="I307" i="1" s="1"/>
  <c r="F308" i="1"/>
  <c r="G308" i="1"/>
  <c r="H308" i="1"/>
  <c r="I308" i="1" s="1"/>
  <c r="F309" i="1"/>
  <c r="G309" i="1"/>
  <c r="H309" i="1"/>
  <c r="I309" i="1" s="1"/>
  <c r="F310" i="1"/>
  <c r="G310" i="1"/>
  <c r="H310" i="1"/>
  <c r="I310" i="1" s="1"/>
  <c r="F311" i="1"/>
  <c r="G311" i="1"/>
  <c r="H311" i="1"/>
  <c r="I311" i="1" s="1"/>
  <c r="F312" i="1"/>
  <c r="G312" i="1"/>
  <c r="H312" i="1"/>
  <c r="I312" i="1" s="1"/>
  <c r="F313" i="1"/>
  <c r="G313" i="1"/>
  <c r="H313" i="1"/>
  <c r="I313" i="1" s="1"/>
  <c r="F314" i="1"/>
  <c r="G314" i="1"/>
  <c r="H314" i="1"/>
  <c r="I314" i="1" s="1"/>
  <c r="F315" i="1"/>
  <c r="G315" i="1"/>
  <c r="H315" i="1"/>
  <c r="I315" i="1" s="1"/>
  <c r="F316" i="1"/>
  <c r="G316" i="1"/>
  <c r="H316" i="1"/>
  <c r="I316" i="1" s="1"/>
  <c r="F317" i="1"/>
  <c r="G317" i="1"/>
  <c r="H317" i="1"/>
  <c r="I317" i="1" s="1"/>
  <c r="F318" i="1"/>
  <c r="G318" i="1"/>
  <c r="H318" i="1"/>
  <c r="I318" i="1" s="1"/>
  <c r="F319" i="1"/>
  <c r="G319" i="1"/>
  <c r="H319" i="1"/>
  <c r="I319" i="1" s="1"/>
  <c r="F320" i="1"/>
  <c r="G320" i="1"/>
  <c r="H320" i="1"/>
  <c r="I320" i="1" s="1"/>
  <c r="F321" i="1"/>
  <c r="G321" i="1"/>
  <c r="H321" i="1"/>
  <c r="I321" i="1" s="1"/>
  <c r="F322" i="1"/>
  <c r="G322" i="1"/>
  <c r="H322" i="1"/>
  <c r="I322" i="1" s="1"/>
  <c r="F323" i="1"/>
  <c r="G323" i="1"/>
  <c r="H323" i="1"/>
  <c r="I323" i="1" s="1"/>
  <c r="F324" i="1"/>
  <c r="G324" i="1"/>
  <c r="H324" i="1"/>
  <c r="I324" i="1" s="1"/>
  <c r="F325" i="1"/>
  <c r="G325" i="1"/>
  <c r="H325" i="1"/>
  <c r="I325" i="1" s="1"/>
  <c r="F326" i="1"/>
  <c r="G326" i="1"/>
  <c r="H326" i="1"/>
  <c r="I326" i="1" s="1"/>
  <c r="F327" i="1"/>
  <c r="G327" i="1"/>
  <c r="H327" i="1"/>
  <c r="I327" i="1" s="1"/>
  <c r="F328" i="1"/>
  <c r="G328" i="1"/>
  <c r="H328" i="1"/>
  <c r="I328" i="1" s="1"/>
  <c r="F329" i="1"/>
  <c r="G329" i="1"/>
  <c r="H329" i="1"/>
  <c r="I329" i="1" s="1"/>
  <c r="F330" i="1"/>
  <c r="G330" i="1"/>
  <c r="H330" i="1"/>
  <c r="I330" i="1" s="1"/>
  <c r="F331" i="1"/>
  <c r="G331" i="1"/>
  <c r="H331" i="1"/>
  <c r="I331" i="1" s="1"/>
  <c r="F332" i="1"/>
  <c r="G332" i="1"/>
  <c r="H332" i="1"/>
  <c r="I332" i="1" s="1"/>
  <c r="F333" i="1"/>
  <c r="G333" i="1"/>
  <c r="H333" i="1"/>
  <c r="I333" i="1" s="1"/>
  <c r="F334" i="1"/>
  <c r="G334" i="1"/>
  <c r="H334" i="1"/>
  <c r="I334" i="1" s="1"/>
  <c r="F335" i="1"/>
  <c r="G335" i="1"/>
  <c r="H335" i="1"/>
  <c r="I335" i="1" s="1"/>
  <c r="F336" i="1"/>
  <c r="G336" i="1"/>
  <c r="H336" i="1"/>
  <c r="I336" i="1" s="1"/>
  <c r="F337" i="1"/>
  <c r="G337" i="1"/>
  <c r="H337" i="1"/>
  <c r="I337" i="1" s="1"/>
  <c r="F338" i="1"/>
  <c r="G338" i="1"/>
  <c r="H338" i="1"/>
  <c r="I338" i="1" s="1"/>
  <c r="F339" i="1"/>
  <c r="G339" i="1"/>
  <c r="H339" i="1"/>
  <c r="I339" i="1" s="1"/>
  <c r="F340" i="1"/>
  <c r="G340" i="1"/>
  <c r="H340" i="1"/>
  <c r="I340" i="1" s="1"/>
  <c r="F341" i="1"/>
  <c r="G341" i="1"/>
  <c r="H341" i="1"/>
  <c r="I341" i="1" s="1"/>
  <c r="F342" i="1"/>
  <c r="G342" i="1"/>
  <c r="H342" i="1"/>
  <c r="I342" i="1" s="1"/>
  <c r="F343" i="1"/>
  <c r="G343" i="1"/>
  <c r="H343" i="1"/>
  <c r="I343" i="1" s="1"/>
  <c r="F344" i="1"/>
  <c r="G344" i="1"/>
  <c r="H344" i="1"/>
  <c r="I344" i="1" s="1"/>
  <c r="F345" i="1"/>
  <c r="G345" i="1"/>
  <c r="H345" i="1"/>
  <c r="I345" i="1" s="1"/>
  <c r="F346" i="1"/>
  <c r="G346" i="1"/>
  <c r="H346" i="1"/>
  <c r="I346" i="1" s="1"/>
  <c r="F347" i="1"/>
  <c r="G347" i="1"/>
  <c r="H347" i="1"/>
  <c r="I347" i="1" s="1"/>
  <c r="F348" i="1"/>
  <c r="G348" i="1"/>
  <c r="H348" i="1"/>
  <c r="I348" i="1" s="1"/>
  <c r="F349" i="1"/>
  <c r="G349" i="1"/>
  <c r="H349" i="1"/>
  <c r="I349" i="1" s="1"/>
  <c r="F350" i="1"/>
  <c r="G350" i="1"/>
  <c r="H350" i="1"/>
  <c r="I350" i="1" s="1"/>
  <c r="F351" i="1"/>
  <c r="G351" i="1"/>
  <c r="H351" i="1"/>
  <c r="I351" i="1" s="1"/>
  <c r="F352" i="1"/>
  <c r="G352" i="1"/>
  <c r="H352" i="1"/>
  <c r="I352" i="1" s="1"/>
  <c r="F353" i="1"/>
  <c r="G353" i="1"/>
  <c r="H353" i="1"/>
  <c r="I353" i="1" s="1"/>
  <c r="F354" i="1"/>
  <c r="G354" i="1"/>
  <c r="H354" i="1"/>
  <c r="I354" i="1" s="1"/>
  <c r="F355" i="1"/>
  <c r="G355" i="1"/>
  <c r="H355" i="1"/>
  <c r="I355" i="1" s="1"/>
  <c r="F356" i="1"/>
  <c r="G356" i="1"/>
  <c r="H356" i="1"/>
  <c r="I356" i="1" s="1"/>
  <c r="F357" i="1"/>
  <c r="G357" i="1"/>
  <c r="H357" i="1"/>
  <c r="I357" i="1" s="1"/>
  <c r="F358" i="1"/>
  <c r="G358" i="1"/>
  <c r="H358" i="1"/>
  <c r="I358" i="1" s="1"/>
  <c r="F359" i="1"/>
  <c r="G359" i="1"/>
  <c r="H359" i="1"/>
  <c r="I359" i="1" s="1"/>
  <c r="F360" i="1"/>
  <c r="G360" i="1"/>
  <c r="H360" i="1"/>
  <c r="I360" i="1" s="1"/>
  <c r="F361" i="1"/>
  <c r="G361" i="1"/>
  <c r="H361" i="1"/>
  <c r="I361" i="1" s="1"/>
  <c r="F362" i="1"/>
  <c r="G362" i="1"/>
  <c r="H362" i="1"/>
  <c r="I362" i="1" s="1"/>
  <c r="F363" i="1"/>
  <c r="G363" i="1"/>
  <c r="H363" i="1"/>
  <c r="I363" i="1" s="1"/>
  <c r="F364" i="1"/>
  <c r="G364" i="1"/>
  <c r="H364" i="1"/>
  <c r="I364" i="1" s="1"/>
  <c r="F365" i="1"/>
  <c r="G365" i="1"/>
  <c r="H365" i="1"/>
  <c r="I365" i="1" s="1"/>
  <c r="F366" i="1"/>
  <c r="G366" i="1"/>
  <c r="H366" i="1"/>
  <c r="I366" i="1" s="1"/>
  <c r="F367" i="1"/>
  <c r="G367" i="1"/>
  <c r="H367" i="1"/>
  <c r="I367" i="1" s="1"/>
  <c r="F368" i="1"/>
  <c r="G368" i="1"/>
  <c r="H368" i="1"/>
  <c r="I368" i="1" s="1"/>
  <c r="F369" i="1"/>
  <c r="G369" i="1"/>
  <c r="H369" i="1"/>
  <c r="I369" i="1" s="1"/>
  <c r="F370" i="1"/>
  <c r="G370" i="1"/>
  <c r="H370" i="1"/>
  <c r="I370" i="1" s="1"/>
  <c r="F371" i="1"/>
  <c r="G371" i="1"/>
  <c r="H371" i="1"/>
  <c r="I371" i="1" s="1"/>
  <c r="F372" i="1"/>
  <c r="G372" i="1"/>
  <c r="H372" i="1"/>
  <c r="I372" i="1" s="1"/>
  <c r="F373" i="1"/>
  <c r="G373" i="1"/>
  <c r="H373" i="1"/>
  <c r="I373" i="1" s="1"/>
  <c r="F374" i="1"/>
  <c r="G374" i="1"/>
  <c r="H374" i="1"/>
  <c r="I374" i="1" s="1"/>
  <c r="F375" i="1"/>
  <c r="G375" i="1"/>
  <c r="H375" i="1"/>
  <c r="I375" i="1" s="1"/>
  <c r="F376" i="1"/>
  <c r="G376" i="1"/>
  <c r="H376" i="1"/>
  <c r="I376" i="1" s="1"/>
  <c r="F377" i="1"/>
  <c r="G377" i="1"/>
  <c r="H377" i="1"/>
  <c r="I377" i="1" s="1"/>
  <c r="F378" i="1"/>
  <c r="G378" i="1"/>
  <c r="H378" i="1"/>
  <c r="I378" i="1" s="1"/>
  <c r="F379" i="1"/>
  <c r="G379" i="1"/>
  <c r="H379" i="1"/>
  <c r="I379" i="1" s="1"/>
  <c r="F380" i="1"/>
  <c r="G380" i="1"/>
  <c r="H380" i="1"/>
  <c r="I380" i="1" s="1"/>
  <c r="F381" i="1"/>
  <c r="G381" i="1"/>
  <c r="H381" i="1"/>
  <c r="I381" i="1" s="1"/>
  <c r="F382" i="1"/>
  <c r="G382" i="1"/>
  <c r="H382" i="1"/>
  <c r="I382" i="1" s="1"/>
  <c r="F383" i="1"/>
  <c r="G383" i="1"/>
  <c r="H383" i="1"/>
  <c r="I383" i="1" s="1"/>
  <c r="F384" i="1"/>
  <c r="G384" i="1"/>
  <c r="H384" i="1"/>
  <c r="I384" i="1" s="1"/>
  <c r="F385" i="1"/>
  <c r="G385" i="1"/>
  <c r="H385" i="1"/>
  <c r="I385" i="1" s="1"/>
  <c r="F386" i="1"/>
  <c r="G386" i="1"/>
  <c r="H386" i="1"/>
  <c r="I386" i="1" s="1"/>
  <c r="F387" i="1"/>
  <c r="G387" i="1"/>
  <c r="H387" i="1"/>
  <c r="I387" i="1" s="1"/>
  <c r="F388" i="1"/>
  <c r="G388" i="1"/>
  <c r="H388" i="1"/>
  <c r="I388" i="1" s="1"/>
  <c r="F389" i="1"/>
  <c r="G389" i="1"/>
  <c r="H389" i="1"/>
  <c r="I389" i="1" s="1"/>
  <c r="F390" i="1"/>
  <c r="G390" i="1"/>
  <c r="H390" i="1"/>
  <c r="I390" i="1" s="1"/>
  <c r="F391" i="1"/>
  <c r="G391" i="1"/>
  <c r="H391" i="1"/>
  <c r="I391" i="1" s="1"/>
  <c r="F392" i="1"/>
  <c r="G392" i="1"/>
  <c r="H392" i="1"/>
  <c r="I392" i="1" s="1"/>
  <c r="F393" i="1"/>
  <c r="G393" i="1"/>
  <c r="H393" i="1"/>
  <c r="I393" i="1" s="1"/>
  <c r="F394" i="1"/>
  <c r="G394" i="1"/>
  <c r="H394" i="1"/>
  <c r="I394" i="1" s="1"/>
  <c r="F395" i="1"/>
  <c r="G395" i="1"/>
  <c r="H395" i="1"/>
  <c r="I395" i="1" s="1"/>
  <c r="F396" i="1"/>
  <c r="G396" i="1"/>
  <c r="H396" i="1"/>
  <c r="I396" i="1" s="1"/>
  <c r="F397" i="1"/>
  <c r="G397" i="1"/>
  <c r="H397" i="1"/>
  <c r="I397" i="1" s="1"/>
  <c r="F398" i="1"/>
  <c r="G398" i="1"/>
  <c r="H398" i="1"/>
  <c r="I398" i="1" s="1"/>
  <c r="F399" i="1"/>
  <c r="G399" i="1"/>
  <c r="H399" i="1"/>
  <c r="I399" i="1" s="1"/>
  <c r="F400" i="1"/>
  <c r="G400" i="1"/>
  <c r="H400" i="1"/>
  <c r="I400" i="1" s="1"/>
  <c r="F401" i="1"/>
  <c r="G401" i="1"/>
  <c r="H401" i="1"/>
  <c r="I401" i="1" s="1"/>
  <c r="F402" i="1"/>
  <c r="G402" i="1"/>
  <c r="H402" i="1"/>
  <c r="I402" i="1" s="1"/>
  <c r="F403" i="1"/>
  <c r="G403" i="1"/>
  <c r="H403" i="1"/>
  <c r="I403" i="1" s="1"/>
  <c r="F404" i="1"/>
  <c r="G404" i="1"/>
  <c r="H404" i="1"/>
  <c r="I404" i="1" s="1"/>
  <c r="F405" i="1"/>
  <c r="G405" i="1"/>
  <c r="H405" i="1"/>
  <c r="I405" i="1" s="1"/>
  <c r="F406" i="1"/>
  <c r="G406" i="1"/>
  <c r="H406" i="1"/>
  <c r="I406" i="1" s="1"/>
  <c r="F407" i="1"/>
  <c r="G407" i="1"/>
  <c r="H407" i="1"/>
  <c r="I407" i="1" s="1"/>
  <c r="F408" i="1"/>
  <c r="G408" i="1"/>
  <c r="H408" i="1"/>
  <c r="I408" i="1" s="1"/>
  <c r="F409" i="1"/>
  <c r="G409" i="1"/>
  <c r="H409" i="1"/>
  <c r="I409" i="1" s="1"/>
  <c r="F410" i="1"/>
  <c r="G410" i="1"/>
  <c r="H410" i="1"/>
  <c r="I410" i="1" s="1"/>
  <c r="F411" i="1"/>
  <c r="G411" i="1"/>
  <c r="H411" i="1"/>
  <c r="I411" i="1" s="1"/>
  <c r="F412" i="1"/>
  <c r="G412" i="1"/>
  <c r="H412" i="1"/>
  <c r="I412" i="1" s="1"/>
  <c r="F413" i="1"/>
  <c r="G413" i="1"/>
  <c r="H413" i="1"/>
  <c r="I413" i="1" s="1"/>
  <c r="F414" i="1"/>
  <c r="G414" i="1"/>
  <c r="H414" i="1"/>
  <c r="I414" i="1" s="1"/>
  <c r="F415" i="1"/>
  <c r="G415" i="1"/>
  <c r="H415" i="1"/>
  <c r="I415" i="1" s="1"/>
  <c r="F416" i="1"/>
  <c r="G416" i="1"/>
  <c r="H416" i="1"/>
  <c r="I416" i="1" s="1"/>
  <c r="F417" i="1"/>
  <c r="G417" i="1"/>
  <c r="H417" i="1"/>
  <c r="I417" i="1" s="1"/>
  <c r="F418" i="1"/>
  <c r="G418" i="1"/>
  <c r="H418" i="1"/>
  <c r="I418" i="1" s="1"/>
  <c r="F419" i="1"/>
  <c r="G419" i="1"/>
  <c r="H419" i="1"/>
  <c r="I419" i="1" s="1"/>
  <c r="F420" i="1"/>
  <c r="G420" i="1"/>
  <c r="H420" i="1"/>
  <c r="I420" i="1" s="1"/>
  <c r="F421" i="1"/>
  <c r="G421" i="1"/>
  <c r="H421" i="1"/>
  <c r="I421" i="1" s="1"/>
  <c r="F422" i="1"/>
  <c r="G422" i="1"/>
  <c r="H422" i="1"/>
  <c r="I422" i="1" s="1"/>
  <c r="F423" i="1"/>
  <c r="G423" i="1"/>
  <c r="H423" i="1"/>
  <c r="I423" i="1" s="1"/>
  <c r="F424" i="1"/>
  <c r="G424" i="1"/>
  <c r="H424" i="1"/>
  <c r="I424" i="1" s="1"/>
  <c r="F425" i="1"/>
  <c r="G425" i="1"/>
  <c r="H425" i="1"/>
  <c r="I425" i="1" s="1"/>
  <c r="F426" i="1"/>
  <c r="G426" i="1"/>
  <c r="H426" i="1"/>
  <c r="I426" i="1" s="1"/>
  <c r="F427" i="1"/>
  <c r="G427" i="1"/>
  <c r="H427" i="1"/>
  <c r="I427" i="1" s="1"/>
  <c r="F428" i="1"/>
  <c r="G428" i="1"/>
  <c r="H428" i="1"/>
  <c r="I428" i="1" s="1"/>
  <c r="F429" i="1"/>
  <c r="G429" i="1"/>
  <c r="H429" i="1"/>
  <c r="I429" i="1" s="1"/>
  <c r="F430" i="1"/>
  <c r="G430" i="1"/>
  <c r="H430" i="1"/>
  <c r="I430" i="1" s="1"/>
  <c r="F431" i="1"/>
  <c r="G431" i="1"/>
  <c r="H431" i="1"/>
  <c r="I431" i="1" s="1"/>
  <c r="F432" i="1"/>
  <c r="G432" i="1"/>
  <c r="H432" i="1"/>
  <c r="I432" i="1" s="1"/>
  <c r="F433" i="1"/>
  <c r="G433" i="1"/>
  <c r="H433" i="1"/>
  <c r="I433" i="1"/>
  <c r="F434" i="1"/>
  <c r="G434" i="1"/>
  <c r="H434" i="1"/>
  <c r="I434" i="1"/>
  <c r="F435" i="1"/>
  <c r="G435" i="1"/>
  <c r="H435" i="1"/>
  <c r="I435" i="1"/>
  <c r="F436" i="1"/>
  <c r="G436" i="1"/>
  <c r="H436" i="1"/>
  <c r="I436" i="1"/>
  <c r="F437" i="1"/>
  <c r="G437" i="1"/>
  <c r="H437" i="1"/>
  <c r="I437" i="1"/>
  <c r="F438" i="1"/>
  <c r="G438" i="1"/>
  <c r="H438" i="1"/>
  <c r="I438" i="1"/>
  <c r="F439" i="1"/>
  <c r="G439" i="1"/>
  <c r="H439" i="1"/>
  <c r="I439" i="1"/>
  <c r="F440" i="1"/>
  <c r="G440" i="1"/>
  <c r="H440" i="1"/>
  <c r="I440" i="1"/>
  <c r="F441" i="1"/>
  <c r="G441" i="1"/>
  <c r="H441" i="1"/>
  <c r="I441" i="1"/>
  <c r="F442" i="1"/>
  <c r="G442" i="1"/>
  <c r="H442" i="1"/>
  <c r="I442" i="1"/>
  <c r="F443" i="1"/>
  <c r="G443" i="1"/>
  <c r="H443" i="1"/>
  <c r="I443" i="1"/>
  <c r="F444" i="1"/>
  <c r="G444" i="1"/>
  <c r="H444" i="1"/>
  <c r="I444" i="1"/>
  <c r="F445" i="1"/>
  <c r="G445" i="1"/>
  <c r="H445" i="1"/>
  <c r="I445" i="1"/>
  <c r="F446" i="1"/>
  <c r="G446" i="1"/>
  <c r="H446" i="1"/>
  <c r="I446" i="1"/>
  <c r="F447" i="1"/>
  <c r="G447" i="1"/>
  <c r="H447" i="1"/>
  <c r="I447" i="1"/>
  <c r="F448" i="1"/>
  <c r="G448" i="1"/>
  <c r="H448" i="1"/>
  <c r="I448" i="1"/>
  <c r="F449" i="1"/>
  <c r="G449" i="1"/>
  <c r="H449" i="1"/>
  <c r="I449" i="1"/>
  <c r="F450" i="1"/>
  <c r="G450" i="1"/>
  <c r="H450" i="1"/>
  <c r="I450" i="1"/>
  <c r="F451" i="1"/>
  <c r="G451" i="1"/>
  <c r="H451" i="1"/>
  <c r="I451" i="1"/>
  <c r="F452" i="1"/>
  <c r="G452" i="1"/>
  <c r="H452" i="1"/>
  <c r="I452" i="1"/>
  <c r="F453" i="1"/>
  <c r="G453" i="1"/>
  <c r="H453" i="1"/>
  <c r="I453" i="1"/>
  <c r="F454" i="1"/>
  <c r="G454" i="1"/>
  <c r="H454" i="1"/>
  <c r="I454" i="1"/>
  <c r="F455" i="1"/>
  <c r="G455" i="1"/>
  <c r="H455" i="1"/>
  <c r="I455" i="1"/>
  <c r="F456" i="1"/>
  <c r="G456" i="1"/>
  <c r="H456" i="1"/>
  <c r="I456" i="1"/>
  <c r="F457" i="1"/>
  <c r="G457" i="1"/>
  <c r="H457" i="1"/>
  <c r="I457" i="1"/>
  <c r="F458" i="1"/>
  <c r="G458" i="1"/>
  <c r="H458" i="1"/>
  <c r="I458" i="1"/>
  <c r="F459" i="1"/>
  <c r="G459" i="1"/>
  <c r="H459" i="1"/>
  <c r="I459" i="1"/>
  <c r="F460" i="1"/>
  <c r="G460" i="1"/>
  <c r="H460" i="1"/>
  <c r="I460" i="1"/>
  <c r="F461" i="1"/>
  <c r="G461" i="1"/>
  <c r="H461" i="1"/>
  <c r="I461" i="1"/>
  <c r="F462" i="1"/>
  <c r="G462" i="1"/>
  <c r="H462" i="1"/>
  <c r="I462" i="1"/>
  <c r="F463" i="1"/>
  <c r="G463" i="1"/>
  <c r="H463" i="1"/>
  <c r="I463" i="1"/>
  <c r="F464" i="1"/>
  <c r="G464" i="1"/>
  <c r="H464" i="1"/>
  <c r="I464" i="1"/>
  <c r="F465" i="1"/>
  <c r="G465" i="1"/>
  <c r="H465" i="1"/>
  <c r="I465" i="1"/>
  <c r="F466" i="1"/>
  <c r="G466" i="1"/>
  <c r="H466" i="1"/>
  <c r="I466" i="1"/>
  <c r="F467" i="1"/>
  <c r="G467" i="1"/>
  <c r="H467" i="1"/>
  <c r="I467" i="1"/>
  <c r="F468" i="1"/>
  <c r="G468" i="1"/>
  <c r="H468" i="1"/>
  <c r="I468" i="1"/>
  <c r="F469" i="1"/>
  <c r="G469" i="1"/>
  <c r="H469" i="1"/>
  <c r="I469" i="1"/>
  <c r="F470" i="1"/>
  <c r="G470" i="1"/>
  <c r="H470" i="1"/>
  <c r="I470" i="1"/>
  <c r="F471" i="1"/>
  <c r="G471" i="1"/>
  <c r="H471" i="1"/>
  <c r="I471" i="1"/>
  <c r="F472" i="1"/>
  <c r="G472" i="1"/>
  <c r="H472" i="1"/>
  <c r="I472" i="1"/>
  <c r="F473" i="1"/>
  <c r="G473" i="1"/>
  <c r="H473" i="1"/>
  <c r="I473" i="1"/>
  <c r="F474" i="1"/>
  <c r="G474" i="1"/>
  <c r="H474" i="1"/>
  <c r="I474" i="1"/>
  <c r="F475" i="1"/>
  <c r="G475" i="1"/>
  <c r="H475" i="1"/>
  <c r="I475" i="1"/>
  <c r="F476" i="1"/>
  <c r="G476" i="1"/>
  <c r="H476" i="1"/>
  <c r="I476" i="1"/>
  <c r="F477" i="1"/>
  <c r="G477" i="1"/>
  <c r="H477" i="1"/>
  <c r="I477" i="1"/>
  <c r="F478" i="1"/>
  <c r="G478" i="1"/>
  <c r="H478" i="1"/>
  <c r="I478" i="1"/>
  <c r="F479" i="1"/>
  <c r="G479" i="1"/>
  <c r="H479" i="1"/>
  <c r="I479" i="1"/>
  <c r="F480" i="1"/>
  <c r="G480" i="1"/>
  <c r="H480" i="1"/>
  <c r="I480" i="1"/>
  <c r="F481" i="1"/>
  <c r="G481" i="1"/>
  <c r="H481" i="1"/>
  <c r="I481" i="1"/>
  <c r="F482" i="1"/>
  <c r="G482" i="1"/>
  <c r="H482" i="1"/>
  <c r="I482" i="1"/>
  <c r="F483" i="1"/>
  <c r="G483" i="1"/>
  <c r="H483" i="1"/>
  <c r="I483" i="1"/>
  <c r="F484" i="1"/>
  <c r="G484" i="1"/>
  <c r="H484" i="1"/>
  <c r="I484" i="1"/>
  <c r="F485" i="1"/>
  <c r="G485" i="1"/>
  <c r="H485" i="1"/>
  <c r="I485" i="1"/>
  <c r="F486" i="1"/>
  <c r="G486" i="1"/>
  <c r="H486" i="1"/>
  <c r="I486" i="1"/>
  <c r="F487" i="1"/>
  <c r="G487" i="1"/>
  <c r="H487" i="1"/>
  <c r="I487" i="1"/>
  <c r="F488" i="1"/>
  <c r="G488" i="1"/>
  <c r="H488" i="1"/>
  <c r="I488" i="1"/>
  <c r="F489" i="1"/>
  <c r="G489" i="1"/>
  <c r="H489" i="1"/>
  <c r="I489" i="1"/>
  <c r="F490" i="1"/>
  <c r="G490" i="1"/>
  <c r="H490" i="1"/>
  <c r="I490" i="1"/>
  <c r="F491" i="1"/>
  <c r="G491" i="1"/>
  <c r="H491" i="1"/>
  <c r="I491" i="1"/>
  <c r="F492" i="1"/>
  <c r="G492" i="1"/>
  <c r="H492" i="1"/>
  <c r="I492" i="1"/>
  <c r="F493" i="1"/>
  <c r="G493" i="1"/>
  <c r="H493" i="1"/>
  <c r="I493" i="1"/>
  <c r="F494" i="1"/>
  <c r="G494" i="1"/>
  <c r="H494" i="1"/>
  <c r="I494" i="1"/>
  <c r="F495" i="1"/>
  <c r="G495" i="1"/>
  <c r="H495" i="1"/>
  <c r="I495" i="1"/>
  <c r="F496" i="1"/>
  <c r="G496" i="1"/>
  <c r="H496" i="1"/>
  <c r="I496" i="1"/>
  <c r="F497" i="1"/>
  <c r="G497" i="1"/>
  <c r="H497" i="1"/>
  <c r="I497" i="1"/>
  <c r="F498" i="1"/>
  <c r="G498" i="1"/>
  <c r="H498" i="1"/>
  <c r="I498" i="1"/>
  <c r="F499" i="1"/>
  <c r="G499" i="1"/>
  <c r="H499" i="1"/>
  <c r="I499" i="1"/>
  <c r="F500" i="1"/>
  <c r="G500" i="1"/>
  <c r="H500" i="1"/>
  <c r="I500" i="1"/>
  <c r="F501" i="1"/>
  <c r="G501" i="1"/>
  <c r="H501" i="1"/>
  <c r="I501" i="1"/>
  <c r="F502" i="1"/>
  <c r="G502" i="1"/>
  <c r="H502" i="1"/>
  <c r="I502" i="1"/>
  <c r="F503" i="1"/>
  <c r="G503" i="1"/>
  <c r="H503" i="1"/>
  <c r="I503" i="1"/>
  <c r="F504" i="1"/>
  <c r="G504" i="1"/>
  <c r="H504" i="1"/>
  <c r="I504" i="1"/>
  <c r="F505" i="1"/>
  <c r="G505" i="1"/>
  <c r="H505" i="1"/>
  <c r="I505" i="1"/>
  <c r="F506" i="1"/>
  <c r="G506" i="1"/>
  <c r="H506" i="1"/>
  <c r="I506" i="1"/>
  <c r="F507" i="1"/>
  <c r="G507" i="1"/>
  <c r="H507" i="1"/>
  <c r="I507" i="1"/>
  <c r="F508" i="1"/>
  <c r="G508" i="1"/>
  <c r="H508" i="1"/>
  <c r="I508" i="1"/>
  <c r="F509" i="1"/>
  <c r="G509" i="1"/>
  <c r="H509" i="1"/>
  <c r="I509" i="1"/>
  <c r="F510" i="1"/>
  <c r="G510" i="1"/>
  <c r="H510" i="1"/>
  <c r="I510" i="1" s="1"/>
  <c r="F511" i="1"/>
  <c r="G511" i="1"/>
  <c r="H511" i="1"/>
  <c r="I511" i="1" s="1"/>
  <c r="F512" i="1"/>
  <c r="G512" i="1"/>
  <c r="H512" i="1"/>
  <c r="I512" i="1" s="1"/>
  <c r="F513" i="1"/>
  <c r="G513" i="1"/>
  <c r="H513" i="1"/>
  <c r="I513" i="1" s="1"/>
  <c r="F514" i="1"/>
  <c r="G514" i="1"/>
  <c r="H514" i="1"/>
  <c r="I514" i="1" s="1"/>
  <c r="F515" i="1"/>
  <c r="G515" i="1"/>
  <c r="H515" i="1"/>
  <c r="I515" i="1" s="1"/>
  <c r="F516" i="1"/>
  <c r="G516" i="1"/>
  <c r="H516" i="1"/>
  <c r="I516" i="1" s="1"/>
  <c r="F517" i="1"/>
  <c r="G517" i="1"/>
  <c r="H517" i="1"/>
  <c r="I517" i="1" s="1"/>
  <c r="F518" i="1"/>
  <c r="G518" i="1"/>
  <c r="H518" i="1"/>
  <c r="I518" i="1" s="1"/>
  <c r="F519" i="1"/>
  <c r="G519" i="1"/>
  <c r="H519" i="1"/>
  <c r="I519" i="1" s="1"/>
  <c r="F520" i="1"/>
  <c r="G520" i="1"/>
  <c r="H520" i="1"/>
  <c r="I520" i="1" s="1"/>
  <c r="F521" i="1"/>
  <c r="G521" i="1"/>
  <c r="H521" i="1"/>
  <c r="I521" i="1" s="1"/>
  <c r="B6" i="2"/>
  <c r="B5" i="2"/>
  <c r="H4" i="1"/>
  <c r="G4" i="1"/>
  <c r="F4" i="1"/>
  <c r="C20" i="2" l="1"/>
  <c r="C19" i="2"/>
  <c r="I4" i="1"/>
  <c r="E5" i="2" s="1"/>
  <c r="C11" i="2"/>
  <c r="C15" i="2"/>
  <c r="C12" i="2"/>
  <c r="C16" i="2"/>
  <c r="E3" i="2"/>
  <c r="D3" i="2"/>
  <c r="D22" i="2"/>
  <c r="D21" i="2"/>
  <c r="D20" i="2"/>
  <c r="D19" i="2"/>
  <c r="D18" i="2"/>
  <c r="D17" i="2"/>
  <c r="D16" i="2"/>
  <c r="D15" i="2"/>
  <c r="D14" i="2"/>
  <c r="D13" i="2"/>
  <c r="D12" i="2"/>
  <c r="D11" i="2"/>
  <c r="C13" i="2"/>
  <c r="C17" i="2"/>
  <c r="C21" i="2"/>
  <c r="C14" i="2"/>
  <c r="C18" i="2"/>
  <c r="C22" i="2"/>
  <c r="D6" i="2" l="1"/>
  <c r="E6" i="2"/>
  <c r="E14" i="2"/>
  <c r="D5" i="2"/>
  <c r="F5" i="2" s="1"/>
  <c r="E13" i="2"/>
  <c r="F3" i="2"/>
  <c r="G3" i="2" s="1"/>
  <c r="E22" i="2"/>
  <c r="E21" i="2"/>
  <c r="D23" i="2"/>
  <c r="E18" i="2"/>
  <c r="E17" i="2"/>
  <c r="D4" i="2"/>
  <c r="E16" i="2"/>
  <c r="E11" i="2"/>
  <c r="C23" i="2"/>
  <c r="E12" i="2"/>
  <c r="E4" i="2"/>
  <c r="E19" i="2"/>
  <c r="E15" i="2"/>
  <c r="E20" i="2"/>
  <c r="F6" i="2" l="1"/>
  <c r="F22" i="2"/>
  <c r="F23" i="2" s="1"/>
  <c r="F21" i="2"/>
  <c r="F20" i="2"/>
  <c r="F19" i="2"/>
  <c r="F18" i="2"/>
  <c r="F17" i="2"/>
  <c r="F16" i="2"/>
  <c r="F15" i="2"/>
  <c r="F14" i="2"/>
  <c r="F13" i="2"/>
  <c r="F12" i="2"/>
  <c r="F11" i="2"/>
  <c r="E23" i="2"/>
  <c r="F4" i="2"/>
  <c r="G4" i="2" s="1"/>
  <c r="G5" i="2" s="1"/>
  <c r="G6" i="2" l="1"/>
</calcChain>
</file>

<file path=xl/sharedStrings.xml><?xml version="1.0" encoding="utf-8"?>
<sst xmlns="http://schemas.openxmlformats.org/spreadsheetml/2006/main" count="2523" uniqueCount="128">
  <si>
    <t>Новые строки добавляйте только под таблицей. Даты вводите в формате даты Excel.</t>
  </si>
  <si>
    <t>Дата</t>
  </si>
  <si>
    <t>Операция</t>
  </si>
  <si>
    <t>Статья</t>
  </si>
  <si>
    <t>Поступления</t>
  </si>
  <si>
    <t>Списания</t>
  </si>
  <si>
    <t>Чистый поток</t>
  </si>
  <si>
    <t>Год</t>
  </si>
  <si>
    <t>Месяц</t>
  </si>
  <si>
    <t>Квартал</t>
  </si>
  <si>
    <t>Поступление</t>
  </si>
  <si>
    <t>Оплата от покупателя</t>
  </si>
  <si>
    <t>Эквайринг</t>
  </si>
  <si>
    <t>перевод со счета на счет</t>
  </si>
  <si>
    <t>Списание</t>
  </si>
  <si>
    <t>Возврат кредита банку</t>
  </si>
  <si>
    <t>Коммунальные услуги</t>
  </si>
  <si>
    <t>транспортно-экспедиционные услуги</t>
  </si>
  <si>
    <t>Подотчет</t>
  </si>
  <si>
    <t>Программное обеспечение, Каталоги, Лицензии</t>
  </si>
  <si>
    <t>материалы для производства</t>
  </si>
  <si>
    <t>упаковка</t>
  </si>
  <si>
    <t>Выплата процентов по депозиту</t>
  </si>
  <si>
    <t>Депозит</t>
  </si>
  <si>
    <t>Комиссия банка</t>
  </si>
  <si>
    <t>Налоги на персонал</t>
  </si>
  <si>
    <t>Перечисление дивидендов</t>
  </si>
  <si>
    <t>Товар</t>
  </si>
  <si>
    <t>Госпошлины, штрафы</t>
  </si>
  <si>
    <t>услуги печати</t>
  </si>
  <si>
    <t>Выплата зарплаты</t>
  </si>
  <si>
    <t>Консультационные услуги</t>
  </si>
  <si>
    <t>Прочее поступление</t>
  </si>
  <si>
    <t>Товар, материал медаль шоколадная</t>
  </si>
  <si>
    <t>НДС</t>
  </si>
  <si>
    <t>УСН</t>
  </si>
  <si>
    <t>Хозрасходы, офисные расходы, мебель</t>
  </si>
  <si>
    <t>Возврат от поставщика</t>
  </si>
  <si>
    <t>Аренда складских помещений</t>
  </si>
  <si>
    <t>Возврат займа контрагентом</t>
  </si>
  <si>
    <t>Дашборд ДДС</t>
  </si>
  <si>
    <t>Остаток на конец</t>
  </si>
  <si>
    <t>Начальный остаток</t>
  </si>
  <si>
    <t>Последняя дата в базе</t>
  </si>
  <si>
    <t>Количество операций</t>
  </si>
  <si>
    <t>№</t>
  </si>
  <si>
    <t>Топ-10 статей поступлений</t>
  </si>
  <si>
    <t>Топ-10 статей списаний</t>
  </si>
  <si>
    <t>Январь</t>
  </si>
  <si>
    <t>Сумма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</si>
  <si>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</si>
  <si>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</si>
  <si>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</si>
  <si>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</si>
  <si>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</si>
  <si>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</si>
  <si>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</si>
  <si>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</si>
  <si>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</si>
  <si>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</si>
  <si>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</si>
  <si>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</si>
  <si>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Новые операции добавляйте на листе 'Операции' под таблицей. Дата должна быть датой Excel. Если дашборд не обновился сразу, нажмите Ctrl+Alt+F9.</t>
  </si>
  <si>
    <t>01.04.2026</t>
  </si>
  <si>
    <t>02.04.2026</t>
  </si>
  <si>
    <t>03.04.2026</t>
  </si>
  <si>
    <t>05.04.2026</t>
  </si>
  <si>
    <t>06.04.2026</t>
  </si>
  <si>
    <t>07.04.2026</t>
  </si>
  <si>
    <t>08.04.2026</t>
  </si>
  <si>
    <t>09.04.2026</t>
  </si>
  <si>
    <t>10.04.2026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</si>
  <si>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</si>
  <si>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</si>
  <si>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</si>
  <si>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</si>
  <si>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</si>
  <si>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</si>
  <si>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</si>
  <si>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</si>
  <si>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</si>
  <si>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</si>
  <si>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</si>
  <si>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</si>
  <si>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</si>
  <si>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</si>
  <si>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</si>
  <si>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</si>
  <si>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</si>
  <si>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</si>
  <si>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</si>
  <si>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</si>
  <si>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</si>
  <si>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</si>
  <si>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</si>
  <si>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</si>
  <si>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</si>
  <si>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</si>
  <si>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</si>
  <si>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11.05.2026</t>
  </si>
  <si>
    <t xml:space="preserve">Услуги связи </t>
  </si>
  <si>
    <t>Услуги печати</t>
  </si>
  <si>
    <t>товар</t>
  </si>
  <si>
    <t xml:space="preserve">оборудование для печати и расходники </t>
  </si>
  <si>
    <t>Оплата страховой премии по договору</t>
  </si>
  <si>
    <t>Лекарство для мамы, прочие списание</t>
  </si>
  <si>
    <t>Услуги охраны</t>
  </si>
  <si>
    <t xml:space="preserve">Товар, материал медаль шоколадная </t>
  </si>
  <si>
    <t>12.05.2026</t>
  </si>
  <si>
    <t>13.05.2026</t>
  </si>
  <si>
    <t>14.05.2026</t>
  </si>
  <si>
    <t>15.05.2026</t>
  </si>
  <si>
    <t>17.05.2026</t>
  </si>
  <si>
    <t>18.05.2026</t>
  </si>
  <si>
    <t>НМА</t>
  </si>
  <si>
    <t>19.05.2026</t>
  </si>
  <si>
    <t>20.05.2026</t>
  </si>
  <si>
    <t>21.05.2026</t>
  </si>
  <si>
    <t>22.05.2026</t>
  </si>
  <si>
    <t>24.05.2026</t>
  </si>
  <si>
    <t>25.05.2026</t>
  </si>
  <si>
    <t>26.05.2026</t>
  </si>
  <si>
    <t>27.05.2026</t>
  </si>
  <si>
    <t>Упаковка</t>
  </si>
  <si>
    <t>28.05.2026</t>
  </si>
  <si>
    <t>29.05.2026</t>
  </si>
  <si>
    <t>30.05.2026</t>
  </si>
  <si>
    <t>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</si>
</sst>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.00"/>
  </numFmts>
  <fonts count="13" x14ac:knownFonts="1"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name val="Calibri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  <font>
      <sz val="8"/>
      <color rgb="FF333333"/>
      <name val="Arial"/>
      <family val="2"/>
    </font>
    <font>
      <sz val="8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8"/>
      <color indexed="63"/>
      <name val="Arial"/>
      <family val="2"/>
    </font>
    <font>
      <sz val="11"/>
      <color rgb="FF000000"/>
      <name val="Times New Roman"/>
      <family val="1"/>
      <charset val="204"/>
    </font>
    <font>
      <sz val="8"/>
      <color rgb="FF333333"/>
      <name val="Arial"/>
      <family val="2"/>
      <charset val="204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6">
    <xf numFmtId="0" fontId="0" fillId="0" borderId="0"/>
    <xf numFmtId="0" fontId="4" fillId="0" borderId="0"/>
    <xf numFmtId="0" fontId="7" fillId="0" borderId="0"/>
    <xf numFmtId="0" fontId="5" fillId="0" borderId="0"/>
    <xf numFmtId="0" fontId="4" fillId="0" borderId="0"/>
    <xf numFmtId="0" fontId="12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0" fontId="3" fillId="0" borderId="0" xfId="0" applyFont="1"/>
    <xf numFmtId="0" fontId="2" fillId="2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4" borderId="0" xfId="0" applyFont="1" applyFill="1"/>
    <xf numFmtId="165" fontId="2" fillId="4" borderId="0" xfId="0" applyNumberFormat="1" applyFont="1" applyFill="1"/>
    <xf numFmtId="0" fontId="4" fillId="0" borderId="0" xfId="4"/>
    <xf numFmtId="0" fontId="9" fillId="6" borderId="4" xfId="3" applyFont="1" applyFill="1" applyBorder="1" applyAlignment="1">
      <alignment horizontal="left" vertical="top"/>
    </xf>
    <xf numFmtId="0" fontId="4" fillId="0" borderId="0" xfId="4"/>
    <xf numFmtId="4" fontId="9" fillId="6" borderId="4" xfId="3" applyNumberFormat="1" applyFont="1" applyFill="1" applyBorder="1" applyAlignment="1">
      <alignment horizontal="right" vertical="top"/>
    </xf>
    <xf numFmtId="0" fontId="9" fillId="6" borderId="4" xfId="3" applyFont="1" applyFill="1" applyBorder="1" applyAlignment="1">
      <alignment horizontal="right" vertical="top"/>
    </xf>
    <xf numFmtId="2" fontId="9" fillId="6" borderId="4" xfId="3" applyNumberFormat="1" applyFont="1" applyFill="1" applyBorder="1" applyAlignment="1">
      <alignment horizontal="right" vertical="top"/>
    </xf>
    <xf numFmtId="0" fontId="4" fillId="0" borderId="0" xfId="4"/>
    <xf numFmtId="0" fontId="4" fillId="0" borderId="0" xfId="4" applyAlignment="1">
      <alignment horizontal="left"/>
    </xf>
    <xf numFmtId="0" fontId="6" fillId="5" borderId="2" xfId="4" applyFont="1" applyFill="1" applyBorder="1" applyAlignment="1">
      <alignment horizontal="left" vertical="top"/>
    </xf>
    <xf numFmtId="0" fontId="4" fillId="0" borderId="0" xfId="4" applyFont="1"/>
    <xf numFmtId="0" fontId="8" fillId="0" borderId="3" xfId="4" applyFont="1" applyBorder="1"/>
    <xf numFmtId="0" fontId="9" fillId="6" borderId="4" xfId="3" applyFont="1" applyFill="1" applyBorder="1" applyAlignment="1">
      <alignment horizontal="left" vertical="top"/>
    </xf>
    <xf numFmtId="0" fontId="10" fillId="0" borderId="5" xfId="4" applyFont="1" applyBorder="1" applyAlignment="1">
      <alignment vertical="center" wrapText="1"/>
    </xf>
    <xf numFmtId="0" fontId="4" fillId="0" borderId="0" xfId="4" applyFont="1" applyAlignment="1">
      <alignment vertical="center" wrapText="1"/>
    </xf>
    <xf numFmtId="0" fontId="10" fillId="7" borderId="5" xfId="4" applyFont="1" applyFill="1" applyBorder="1" applyAlignment="1">
      <alignment vertical="center" wrapText="1"/>
    </xf>
    <xf numFmtId="0" fontId="11" fillId="7" borderId="6" xfId="4" applyFont="1" applyFill="1" applyBorder="1" applyAlignment="1">
      <alignment horizontal="left" vertical="top" wrapText="1"/>
    </xf>
    <xf numFmtId="4" fontId="0" fillId="0" borderId="0" xfId="0" applyNumberFormat="1"/>
    <xf numFmtId="0" fontId="4" fillId="0" borderId="0" xfId="4"/>
    <xf numFmtId="4" fontId="4" fillId="0" borderId="0" xfId="4" applyNumberFormat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6">
    <cellStyle name="Обычный" xfId="0" builtinId="0"/>
    <cellStyle name="Обычный 2" xfId="2" xr:uid="{CEBD8141-B8FB-42BA-8DE6-BE75FCAC368F}"/>
    <cellStyle name="Обычный 3" xfId="4" xr:uid="{B339ACF2-30A4-47B8-A7F7-8510124F511C}"/>
    <cellStyle name="Обычный 4" xfId="1" xr:uid="{00000000-0005-0000-0000-00002F000000}"/>
    <cellStyle name="Обычный 5" xfId="5" xr:uid="{FD73FFA7-E4A7-4C18-B13A-953147B68B31}"/>
    <cellStyle name="Обычный_банк 2026 2 квартал" xfId="3" xr:uid="{1C58BFE2-56C1-47B9-8F56-1654E77D4B3A}"/>
  </cellStyles>
  <dxfs count="2">
    <dxf>
      <fill>
        <patternFill patternType="solid">
          <fgColor rgb="FFEAF4EA"/>
        </patternFill>
      </fill>
    </dxf>
    <dxf>
      <fill>
        <patternFill patternType="solid">
          <fgColor rgb="FFFD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Поступления и списания по месяцам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Dash!$C$10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Dash!$B$11:$B$22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Dash!$C$11:$C$22</c:f>
              <c:numCache>
                <c:formatCode>#\ 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18560380.329999998</c:v>
                </c:pt>
                <c:pt idx="4">
                  <c:v>61665810.86999999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F-4B79-A5E4-EF61F3F47D00}"/>
            </c:ext>
          </c:extLst>
        </c:ser>
        <c:ser>
          <c:idx val="1"/>
          <c:order val="1"/>
          <c:tx>
            <c:strRef>
              <c:f>Dash!$D$10</c:f>
              <c:strCache>
                <c:ptCount val="1"/>
                <c:pt idx="0">
                  <c:v>Списания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Dash!$B$11:$B$22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Dash!$D$11:$D$22</c:f>
              <c:numCache>
                <c:formatCode>#\ 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18105117.949999996</c:v>
                </c:pt>
                <c:pt idx="4">
                  <c:v>62960488.960000001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F-4B79-A5E4-EF61F3F47D00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Рубли</a:t>
                </a:r>
              </a:p>
            </c:rich>
          </c:tx>
          <c:overlay val="1"/>
        </c:title>
        <c:numFmt formatCode="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ru-RU"/>
              <a:t>Остаток денежных средств на конец месяца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Dash!$F$10</c:f>
              <c:strCache>
                <c:ptCount val="1"/>
                <c:pt idx="0">
                  <c:v>Остаток на конец</c:v>
                </c:pt>
              </c:strCache>
            </c:strRef>
          </c:tx>
          <c:spPr>
            <a:ln w="22000">
              <a:solidFill>
                <a:srgbClr val="255E91"/>
              </a:solidFill>
              <a:prstDash val="solid"/>
            </a:ln>
          </c:spPr>
          <c:marker>
            <c:symbol val="none"/>
          </c:marker>
          <c:cat>
            <c:strRef>
              <c:f>Dash!$B$11:$B$22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Dash!$F$11:$F$22</c:f>
              <c:numCache>
                <c:formatCode>#\ ##0.00</c:formatCode>
                <c:ptCount val="12"/>
                <c:pt idx="0">
                  <c:v>1296288.48</c:v>
                </c:pt>
                <c:pt idx="1">
                  <c:v>1296288.48</c:v>
                </c:pt>
                <c:pt idx="2">
                  <c:v>1296288.48</c:v>
                </c:pt>
                <c:pt idx="3">
                  <c:v>1751550.8600000027</c:v>
                </c:pt>
                <c:pt idx="4">
                  <c:v>456872.76999999164</c:v>
                </c:pt>
                <c:pt idx="5">
                  <c:v>456872.76999999164</c:v>
                </c:pt>
                <c:pt idx="6">
                  <c:v>456872.76999999164</c:v>
                </c:pt>
                <c:pt idx="7">
                  <c:v>456872.76999999164</c:v>
                </c:pt>
                <c:pt idx="8">
                  <c:v>456872.76999999164</c:v>
                </c:pt>
                <c:pt idx="9">
                  <c:v>456872.76999999164</c:v>
                </c:pt>
                <c:pt idx="10">
                  <c:v>456872.76999999164</c:v>
                </c:pt>
                <c:pt idx="11">
                  <c:v>456872.76999999164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2C-42B5-942A-4A07BD979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Рубли</a:t>
                </a:r>
              </a:p>
            </c:rich>
          </c:tx>
          <c:overlay val="1"/>
        </c:title>
        <c:numFmt formatCode="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ru-RU"/>
              <a:t>Топ статей поступлений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Dash!$J$11</c:f>
              <c:strCache>
                <c:ptCount val="1"/>
                <c:pt idx="0">
                  <c:v>Сумма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Dash!$I$12:$I$21</c:f>
              <c:strCache>
                <c:ptCount val="8"/>
                <c:pt idx="0">
                  <c:v>Депозит</c:v>
                </c:pt>
                <c:pt idx="1">
                  <c:v>Оплата от покупателя</c:v>
                </c:pt>
                <c:pt idx="2">
                  <c:v>перевод со счета на счет</c:v>
                </c:pt>
                <c:pt idx="3">
                  <c:v>Эквайринг</c:v>
                </c:pt>
                <c:pt idx="4">
                  <c:v>Возврат займа контрагентом</c:v>
                </c:pt>
                <c:pt idx="5">
                  <c:v>Выплата процентов по депозиту</c:v>
                </c:pt>
                <c:pt idx="6">
                  <c:v>Прочее поступление</c:v>
                </c:pt>
                <c:pt idx="7">
                  <c:v>Возврат от поставщика</c:v>
                </c:pt>
              </c:strCache>
            </c:strRef>
          </c:cat>
          <c:val>
            <c:numRef>
              <c:f>Dash!$J$12:$J$21</c:f>
              <c:numCache>
                <c:formatCode>#\ ##0.00</c:formatCode>
                <c:ptCount val="10"/>
                <c:pt idx="0">
                  <c:v>14000000</c:v>
                </c:pt>
                <c:pt idx="1">
                  <c:v>3204561.23</c:v>
                </c:pt>
                <c:pt idx="2">
                  <c:v>682550.17999999993</c:v>
                </c:pt>
                <c:pt idx="3">
                  <c:v>338668.9</c:v>
                </c:pt>
                <c:pt idx="4">
                  <c:v>204000</c:v>
                </c:pt>
                <c:pt idx="5">
                  <c:v>128206.02</c:v>
                </c:pt>
                <c:pt idx="6">
                  <c:v>2180</c:v>
                </c:pt>
                <c:pt idx="7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B-4903-A2BC-284EFFDC5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ru-RU"/>
              <a:t>Топ статей списаний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Dash!$M$11</c:f>
              <c:strCache>
                <c:ptCount val="1"/>
                <c:pt idx="0">
                  <c:v>Сумма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Dash!$L$12:$L$21</c:f>
              <c:strCache>
                <c:ptCount val="10"/>
                <c:pt idx="0">
                  <c:v>Депозит</c:v>
                </c:pt>
                <c:pt idx="1">
                  <c:v>материалы для производства</c:v>
                </c:pt>
                <c:pt idx="2">
                  <c:v>перевод со счета на счет</c:v>
                </c:pt>
                <c:pt idx="3">
                  <c:v>НДС</c:v>
                </c:pt>
                <c:pt idx="4">
                  <c:v>Перечисление дивидендов</c:v>
                </c:pt>
                <c:pt idx="5">
                  <c:v>Товар</c:v>
                </c:pt>
                <c:pt idx="6">
                  <c:v>Налоги на персонал</c:v>
                </c:pt>
                <c:pt idx="7">
                  <c:v>упаковка</c:v>
                </c:pt>
                <c:pt idx="8">
                  <c:v>Возврат кредита банку</c:v>
                </c:pt>
                <c:pt idx="9">
                  <c:v>Товар, материал медаль шоколадная</c:v>
                </c:pt>
              </c:strCache>
            </c:strRef>
          </c:cat>
          <c:val>
            <c:numRef>
              <c:f>Dash!$M$12:$M$21</c:f>
              <c:numCache>
                <c:formatCode>#\ ##0.00</c:formatCode>
                <c:ptCount val="10"/>
                <c:pt idx="0">
                  <c:v>4000000</c:v>
                </c:pt>
                <c:pt idx="1">
                  <c:v>969078.15999999992</c:v>
                </c:pt>
                <c:pt idx="2">
                  <c:v>615013.62</c:v>
                </c:pt>
                <c:pt idx="3">
                  <c:v>442938</c:v>
                </c:pt>
                <c:pt idx="4">
                  <c:v>400000</c:v>
                </c:pt>
                <c:pt idx="5">
                  <c:v>227024.2</c:v>
                </c:pt>
                <c:pt idx="6">
                  <c:v>149194</c:v>
                </c:pt>
                <c:pt idx="7">
                  <c:v>123002</c:v>
                </c:pt>
                <c:pt idx="8">
                  <c:v>117530.76</c:v>
                </c:pt>
                <c:pt idx="9">
                  <c:v>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1-41BB-A001-FEA066945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9</xdr:row>
      <xdr:rowOff>0</xdr:rowOff>
    </xdr:from>
    <xdr:ext cx="360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27</xdr:row>
      <xdr:rowOff>0</xdr:rowOff>
    </xdr:from>
    <xdr:ext cx="360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ps" displayName="tbl_ops" ref="A3:I823">
  <autoFilter ref="A3:I823" xr:uid="{00000000-0009-0000-0100-000001000000}"/>
  <tableColumns count="9">
    <tableColumn id="1" xr3:uid="{00000000-0010-0000-0000-000001000000}" name="Дата"/>
    <tableColumn id="2" xr3:uid="{00000000-0010-0000-0000-000002000000}" name="Операция"/>
    <tableColumn id="3" xr3:uid="{00000000-0010-0000-0000-000003000000}" name="Статья"/>
    <tableColumn id="4" xr3:uid="{00000000-0010-0000-0000-000004000000}" name="Поступления"/>
    <tableColumn id="5" xr3:uid="{00000000-0010-0000-0000-000005000000}" name="Списания"/>
    <tableColumn id="6" xr3:uid="{00000000-0010-0000-0000-000006000000}" name="Чистый поток">
      <calculatedColumnFormula>D4-E4</calculatedColumnFormula>
    </tableColumn>
    <tableColumn id="7" xr3:uid="{00000000-0010-0000-0000-000007000000}" name="Год">
      <calculatedColumnFormula>YEAR(A4)</calculatedColumnFormula>
    </tableColumn>
    <tableColumn id="8" xr3:uid="{00000000-0010-0000-0000-000008000000}" name="Месяц">
      <calculatedColumnFormula>MONTH(A4)</calculatedColumnFormula>
    </tableColumn>
    <tableColumn id="9" xr3:uid="{00000000-0010-0000-0000-000009000000}" name="Квартал">
      <calculatedColumnFormula>ROUNDUP(H4/3,0)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3"/>
  <sheetViews>
    <sheetView tabSelected="1" workbookViewId="0">
      <pane ySplit="3" topLeftCell="A739" activePane="bottomLeft" state="frozen"/>
      <selection pane="bottomLeft" activeCell="C751" sqref="C751"/>
    </sheetView>
  </sheetViews>
  <sheetFormatPr defaultRowHeight="15" x14ac:dyDescent="0.25"/>
  <cols>
    <col min="1" max="1" width="13" customWidth="1"/>
    <col min="2" max="2" width="15" customWidth="1"/>
    <col min="3" max="3" width="34" customWidth="1"/>
    <col min="4" max="6" width="16" customWidth="1"/>
    <col min="7" max="9" width="10" customWidth="1"/>
  </cols>
  <sheetData>
    <row r="1" spans="1:9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13" t="s">
        <v>63</v>
      </c>
      <c r="B4" s="2" t="s">
        <v>10</v>
      </c>
      <c r="C4" s="23" t="s">
        <v>11</v>
      </c>
      <c r="D4" s="15">
        <v>31440</v>
      </c>
      <c r="E4" s="16"/>
      <c r="F4" s="3">
        <f t="shared" ref="F4" si="0">D4-E4</f>
        <v>31440</v>
      </c>
      <c r="G4" s="2">
        <f t="shared" ref="G4" si="1">YEAR(A4)</f>
        <v>2026</v>
      </c>
      <c r="H4" s="2">
        <f t="shared" ref="H4" si="2">MONTH(A4)</f>
        <v>4</v>
      </c>
      <c r="I4" s="2">
        <f t="shared" ref="I4:I67" si="3">ROUNDUP(H4/3,0)</f>
        <v>2</v>
      </c>
    </row>
    <row r="5" spans="1:9" x14ac:dyDescent="0.25">
      <c r="A5" s="13" t="s">
        <v>63</v>
      </c>
      <c r="B5" s="2" t="s">
        <v>10</v>
      </c>
      <c r="C5" s="23" t="s">
        <v>11</v>
      </c>
      <c r="D5" s="15">
        <v>13622</v>
      </c>
      <c r="E5" s="16"/>
      <c r="F5" s="3">
        <f t="shared" ref="F5:F68" si="4">D5-E5</f>
        <v>13622</v>
      </c>
      <c r="G5" s="2">
        <f t="shared" ref="G5:G68" si="5">YEAR(A5)</f>
        <v>2026</v>
      </c>
      <c r="H5" s="2">
        <f t="shared" ref="H5:H68" si="6">MONTH(A5)</f>
        <v>4</v>
      </c>
      <c r="I5" s="2">
        <f t="shared" si="3"/>
        <v>2</v>
      </c>
    </row>
    <row r="6" spans="1:9" x14ac:dyDescent="0.25">
      <c r="A6" s="13" t="s">
        <v>63</v>
      </c>
      <c r="B6" s="2" t="s">
        <v>10</v>
      </c>
      <c r="C6" s="23" t="s">
        <v>11</v>
      </c>
      <c r="D6" s="15">
        <v>13795</v>
      </c>
      <c r="E6" s="16"/>
      <c r="F6" s="3">
        <f t="shared" si="4"/>
        <v>13795</v>
      </c>
      <c r="G6" s="2">
        <f t="shared" si="5"/>
        <v>2026</v>
      </c>
      <c r="H6" s="2">
        <f t="shared" si="6"/>
        <v>4</v>
      </c>
      <c r="I6" s="2">
        <f t="shared" si="3"/>
        <v>2</v>
      </c>
    </row>
    <row r="7" spans="1:9" x14ac:dyDescent="0.25">
      <c r="A7" s="13" t="s">
        <v>63</v>
      </c>
      <c r="B7" s="2" t="s">
        <v>10</v>
      </c>
      <c r="C7" s="23" t="s">
        <v>11</v>
      </c>
      <c r="D7" s="15">
        <v>136955</v>
      </c>
      <c r="E7" s="16"/>
      <c r="F7" s="3">
        <f t="shared" si="4"/>
        <v>136955</v>
      </c>
      <c r="G7" s="2">
        <f t="shared" si="5"/>
        <v>2026</v>
      </c>
      <c r="H7" s="2">
        <f t="shared" si="6"/>
        <v>4</v>
      </c>
      <c r="I7" s="2">
        <f t="shared" si="3"/>
        <v>2</v>
      </c>
    </row>
    <row r="8" spans="1:9" x14ac:dyDescent="0.25">
      <c r="A8" s="13" t="s">
        <v>63</v>
      </c>
      <c r="B8" s="2" t="s">
        <v>10</v>
      </c>
      <c r="C8" s="21" t="s">
        <v>13</v>
      </c>
      <c r="D8" s="15">
        <v>4716</v>
      </c>
      <c r="E8" s="16"/>
      <c r="F8" s="3">
        <f t="shared" si="4"/>
        <v>4716</v>
      </c>
      <c r="G8" s="2">
        <f t="shared" si="5"/>
        <v>2026</v>
      </c>
      <c r="H8" s="2">
        <f t="shared" si="6"/>
        <v>4</v>
      </c>
      <c r="I8" s="2">
        <f t="shared" si="3"/>
        <v>2</v>
      </c>
    </row>
    <row r="9" spans="1:9" x14ac:dyDescent="0.25">
      <c r="A9" s="13" t="s">
        <v>63</v>
      </c>
      <c r="B9" s="2" t="s">
        <v>10</v>
      </c>
      <c r="C9" s="21" t="s">
        <v>13</v>
      </c>
      <c r="D9" s="15">
        <v>2043.3</v>
      </c>
      <c r="E9" s="16"/>
      <c r="F9" s="3">
        <f t="shared" si="4"/>
        <v>2043.3</v>
      </c>
      <c r="G9" s="2">
        <f t="shared" si="5"/>
        <v>2026</v>
      </c>
      <c r="H9" s="2">
        <f t="shared" si="6"/>
        <v>4</v>
      </c>
      <c r="I9" s="2">
        <f t="shared" si="3"/>
        <v>2</v>
      </c>
    </row>
    <row r="10" spans="1:9" x14ac:dyDescent="0.25">
      <c r="A10" s="13" t="s">
        <v>63</v>
      </c>
      <c r="B10" s="2" t="s">
        <v>10</v>
      </c>
      <c r="C10" s="21" t="s">
        <v>13</v>
      </c>
      <c r="D10" s="15">
        <v>2069.25</v>
      </c>
      <c r="E10" s="16"/>
      <c r="F10" s="3">
        <f t="shared" si="4"/>
        <v>2069.25</v>
      </c>
      <c r="G10" s="2">
        <f t="shared" si="5"/>
        <v>2026</v>
      </c>
      <c r="H10" s="2">
        <f t="shared" si="6"/>
        <v>4</v>
      </c>
      <c r="I10" s="2">
        <f t="shared" si="3"/>
        <v>2</v>
      </c>
    </row>
    <row r="11" spans="1:9" x14ac:dyDescent="0.25">
      <c r="A11" s="13" t="s">
        <v>63</v>
      </c>
      <c r="B11" s="2" t="s">
        <v>10</v>
      </c>
      <c r="C11" s="21" t="s">
        <v>13</v>
      </c>
      <c r="D11" s="15">
        <v>20543.25</v>
      </c>
      <c r="E11" s="16"/>
      <c r="F11" s="3">
        <f t="shared" si="4"/>
        <v>20543.25</v>
      </c>
      <c r="G11" s="2">
        <f t="shared" si="5"/>
        <v>2026</v>
      </c>
      <c r="H11" s="2">
        <f t="shared" si="6"/>
        <v>4</v>
      </c>
      <c r="I11" s="2">
        <f t="shared" si="3"/>
        <v>2</v>
      </c>
    </row>
    <row r="12" spans="1:9" x14ac:dyDescent="0.25">
      <c r="A12" s="13" t="s">
        <v>63</v>
      </c>
      <c r="B12" s="2" t="s">
        <v>10</v>
      </c>
      <c r="C12" s="18" t="s">
        <v>12</v>
      </c>
      <c r="D12" s="15">
        <v>71636.58</v>
      </c>
      <c r="E12" s="16"/>
      <c r="F12" s="3">
        <f t="shared" si="4"/>
        <v>71636.58</v>
      </c>
      <c r="G12" s="2">
        <f t="shared" si="5"/>
        <v>2026</v>
      </c>
      <c r="H12" s="2">
        <f t="shared" si="6"/>
        <v>4</v>
      </c>
      <c r="I12" s="2">
        <f t="shared" si="3"/>
        <v>2</v>
      </c>
    </row>
    <row r="13" spans="1:9" x14ac:dyDescent="0.25">
      <c r="A13" s="13" t="s">
        <v>63</v>
      </c>
      <c r="B13" s="2" t="s">
        <v>14</v>
      </c>
      <c r="C13" s="21" t="s">
        <v>13</v>
      </c>
      <c r="D13" s="16"/>
      <c r="E13" s="15">
        <v>4716</v>
      </c>
      <c r="F13" s="3">
        <f t="shared" si="4"/>
        <v>-4716</v>
      </c>
      <c r="G13" s="2">
        <f t="shared" si="5"/>
        <v>2026</v>
      </c>
      <c r="H13" s="2">
        <f t="shared" si="6"/>
        <v>4</v>
      </c>
      <c r="I13" s="2">
        <f t="shared" si="3"/>
        <v>2</v>
      </c>
    </row>
    <row r="14" spans="1:9" x14ac:dyDescent="0.25">
      <c r="A14" s="13" t="s">
        <v>63</v>
      </c>
      <c r="B14" s="2" t="s">
        <v>14</v>
      </c>
      <c r="C14" s="21" t="s">
        <v>13</v>
      </c>
      <c r="D14" s="16"/>
      <c r="E14" s="15">
        <v>2043.3</v>
      </c>
      <c r="F14" s="3">
        <f t="shared" si="4"/>
        <v>-2043.3</v>
      </c>
      <c r="G14" s="2">
        <f t="shared" si="5"/>
        <v>2026</v>
      </c>
      <c r="H14" s="2">
        <f t="shared" si="6"/>
        <v>4</v>
      </c>
      <c r="I14" s="2">
        <f t="shared" si="3"/>
        <v>2</v>
      </c>
    </row>
    <row r="15" spans="1:9" x14ac:dyDescent="0.25">
      <c r="A15" s="13" t="s">
        <v>63</v>
      </c>
      <c r="B15" s="2" t="s">
        <v>14</v>
      </c>
      <c r="C15" s="21" t="s">
        <v>13</v>
      </c>
      <c r="D15" s="16"/>
      <c r="E15" s="15">
        <v>2069.25</v>
      </c>
      <c r="F15" s="3">
        <f t="shared" si="4"/>
        <v>-2069.25</v>
      </c>
      <c r="G15" s="2">
        <f t="shared" si="5"/>
        <v>2026</v>
      </c>
      <c r="H15" s="2">
        <f t="shared" si="6"/>
        <v>4</v>
      </c>
      <c r="I15" s="2">
        <f t="shared" si="3"/>
        <v>2</v>
      </c>
    </row>
    <row r="16" spans="1:9" x14ac:dyDescent="0.25">
      <c r="A16" s="13" t="s">
        <v>63</v>
      </c>
      <c r="B16" s="2" t="s">
        <v>14</v>
      </c>
      <c r="C16" s="21" t="s">
        <v>13</v>
      </c>
      <c r="D16" s="16"/>
      <c r="E16" s="15">
        <v>20543.25</v>
      </c>
      <c r="F16" s="3">
        <f t="shared" si="4"/>
        <v>-20543.25</v>
      </c>
      <c r="G16" s="2">
        <f t="shared" si="5"/>
        <v>2026</v>
      </c>
      <c r="H16" s="2">
        <f t="shared" si="6"/>
        <v>4</v>
      </c>
      <c r="I16" s="2">
        <f t="shared" si="3"/>
        <v>2</v>
      </c>
    </row>
    <row r="17" spans="1:9" x14ac:dyDescent="0.25">
      <c r="A17" s="13" t="s">
        <v>63</v>
      </c>
      <c r="B17" s="2" t="s">
        <v>14</v>
      </c>
      <c r="C17" s="18" t="s">
        <v>16</v>
      </c>
      <c r="D17" s="16"/>
      <c r="E17" s="17">
        <v>481.78</v>
      </c>
      <c r="F17" s="3">
        <f t="shared" si="4"/>
        <v>-481.78</v>
      </c>
      <c r="G17" s="2">
        <f t="shared" si="5"/>
        <v>2026</v>
      </c>
      <c r="H17" s="2">
        <f t="shared" si="6"/>
        <v>4</v>
      </c>
      <c r="I17" s="2">
        <f t="shared" si="3"/>
        <v>2</v>
      </c>
    </row>
    <row r="18" spans="1:9" x14ac:dyDescent="0.25">
      <c r="A18" s="13" t="s">
        <v>63</v>
      </c>
      <c r="B18" s="2" t="s">
        <v>14</v>
      </c>
      <c r="C18" s="18" t="s">
        <v>17</v>
      </c>
      <c r="D18" s="16"/>
      <c r="E18" s="17">
        <v>912.2</v>
      </c>
      <c r="F18" s="3">
        <f t="shared" si="4"/>
        <v>-912.2</v>
      </c>
      <c r="G18" s="2">
        <f t="shared" si="5"/>
        <v>2026</v>
      </c>
      <c r="H18" s="2">
        <f t="shared" si="6"/>
        <v>4</v>
      </c>
      <c r="I18" s="2">
        <f t="shared" si="3"/>
        <v>2</v>
      </c>
    </row>
    <row r="19" spans="1:9" x14ac:dyDescent="0.25">
      <c r="A19" s="13" t="s">
        <v>63</v>
      </c>
      <c r="B19" s="2" t="s">
        <v>14</v>
      </c>
      <c r="C19" s="20" t="s">
        <v>15</v>
      </c>
      <c r="D19" s="16"/>
      <c r="E19" s="15">
        <v>117530.76</v>
      </c>
      <c r="F19" s="3">
        <f t="shared" si="4"/>
        <v>-117530.76</v>
      </c>
      <c r="G19" s="2">
        <f t="shared" si="5"/>
        <v>2026</v>
      </c>
      <c r="H19" s="2">
        <f t="shared" si="6"/>
        <v>4</v>
      </c>
      <c r="I19" s="2">
        <f t="shared" si="3"/>
        <v>2</v>
      </c>
    </row>
    <row r="20" spans="1:9" x14ac:dyDescent="0.25">
      <c r="A20" s="13" t="s">
        <v>64</v>
      </c>
      <c r="B20" s="2" t="s">
        <v>10</v>
      </c>
      <c r="C20" s="23" t="s">
        <v>11</v>
      </c>
      <c r="D20" s="15">
        <v>94450</v>
      </c>
      <c r="E20" s="16"/>
      <c r="F20" s="3">
        <f t="shared" si="4"/>
        <v>94450</v>
      </c>
      <c r="G20" s="2">
        <f t="shared" si="5"/>
        <v>2026</v>
      </c>
      <c r="H20" s="2">
        <f t="shared" si="6"/>
        <v>4</v>
      </c>
      <c r="I20" s="2">
        <f t="shared" si="3"/>
        <v>2</v>
      </c>
    </row>
    <row r="21" spans="1:9" x14ac:dyDescent="0.25">
      <c r="A21" s="13" t="s">
        <v>64</v>
      </c>
      <c r="B21" s="2" t="s">
        <v>10</v>
      </c>
      <c r="C21" s="23" t="s">
        <v>11</v>
      </c>
      <c r="D21" s="15">
        <v>53741.5</v>
      </c>
      <c r="E21" s="16"/>
      <c r="F21" s="3">
        <f t="shared" si="4"/>
        <v>53741.5</v>
      </c>
      <c r="G21" s="2">
        <f t="shared" si="5"/>
        <v>2026</v>
      </c>
      <c r="H21" s="2">
        <f t="shared" si="6"/>
        <v>4</v>
      </c>
      <c r="I21" s="2">
        <f t="shared" si="3"/>
        <v>2</v>
      </c>
    </row>
    <row r="22" spans="1:9" x14ac:dyDescent="0.25">
      <c r="A22" s="13" t="s">
        <v>64</v>
      </c>
      <c r="B22" s="2" t="s">
        <v>10</v>
      </c>
      <c r="C22" s="21" t="s">
        <v>13</v>
      </c>
      <c r="D22" s="15">
        <v>14167.5</v>
      </c>
      <c r="E22" s="16"/>
      <c r="F22" s="3">
        <f t="shared" si="4"/>
        <v>14167.5</v>
      </c>
      <c r="G22" s="2">
        <f t="shared" si="5"/>
        <v>2026</v>
      </c>
      <c r="H22" s="2">
        <f t="shared" si="6"/>
        <v>4</v>
      </c>
      <c r="I22" s="2">
        <f t="shared" si="3"/>
        <v>2</v>
      </c>
    </row>
    <row r="23" spans="1:9" x14ac:dyDescent="0.25">
      <c r="A23" s="13" t="s">
        <v>64</v>
      </c>
      <c r="B23" s="2" t="s">
        <v>10</v>
      </c>
      <c r="C23" s="21" t="s">
        <v>13</v>
      </c>
      <c r="D23" s="15">
        <v>8061.22</v>
      </c>
      <c r="E23" s="16"/>
      <c r="F23" s="3">
        <f t="shared" si="4"/>
        <v>8061.22</v>
      </c>
      <c r="G23" s="2">
        <f t="shared" si="5"/>
        <v>2026</v>
      </c>
      <c r="H23" s="2">
        <f t="shared" si="6"/>
        <v>4</v>
      </c>
      <c r="I23" s="2">
        <f t="shared" si="3"/>
        <v>2</v>
      </c>
    </row>
    <row r="24" spans="1:9" x14ac:dyDescent="0.25">
      <c r="A24" s="13" t="s">
        <v>64</v>
      </c>
      <c r="B24" s="2" t="s">
        <v>10</v>
      </c>
      <c r="C24" s="18" t="s">
        <v>12</v>
      </c>
      <c r="D24" s="15">
        <v>5120.4799999999996</v>
      </c>
      <c r="E24" s="16"/>
      <c r="F24" s="3">
        <f t="shared" si="4"/>
        <v>5120.4799999999996</v>
      </c>
      <c r="G24" s="2">
        <f t="shared" si="5"/>
        <v>2026</v>
      </c>
      <c r="H24" s="2">
        <f t="shared" si="6"/>
        <v>4</v>
      </c>
      <c r="I24" s="2">
        <f t="shared" si="3"/>
        <v>2</v>
      </c>
    </row>
    <row r="25" spans="1:9" x14ac:dyDescent="0.25">
      <c r="A25" s="13" t="s">
        <v>64</v>
      </c>
      <c r="B25" s="2" t="s">
        <v>14</v>
      </c>
      <c r="C25" s="21" t="s">
        <v>13</v>
      </c>
      <c r="D25" s="16"/>
      <c r="E25" s="15">
        <v>14167.5</v>
      </c>
      <c r="F25" s="3">
        <f t="shared" si="4"/>
        <v>-14167.5</v>
      </c>
      <c r="G25" s="2">
        <f t="shared" si="5"/>
        <v>2026</v>
      </c>
      <c r="H25" s="2">
        <f t="shared" si="6"/>
        <v>4</v>
      </c>
      <c r="I25" s="2">
        <f t="shared" si="3"/>
        <v>2</v>
      </c>
    </row>
    <row r="26" spans="1:9" x14ac:dyDescent="0.25">
      <c r="A26" s="13" t="s">
        <v>64</v>
      </c>
      <c r="B26" s="2" t="s">
        <v>14</v>
      </c>
      <c r="C26" s="18" t="s">
        <v>19</v>
      </c>
      <c r="D26" s="16"/>
      <c r="E26" s="15">
        <v>18900</v>
      </c>
      <c r="F26" s="3">
        <f t="shared" si="4"/>
        <v>-18900</v>
      </c>
      <c r="G26" s="2">
        <f t="shared" si="5"/>
        <v>2026</v>
      </c>
      <c r="H26" s="2">
        <f t="shared" si="6"/>
        <v>4</v>
      </c>
      <c r="I26" s="2">
        <f t="shared" si="3"/>
        <v>2</v>
      </c>
    </row>
    <row r="27" spans="1:9" x14ac:dyDescent="0.25">
      <c r="A27" s="13" t="s">
        <v>64</v>
      </c>
      <c r="B27" s="2" t="s">
        <v>14</v>
      </c>
      <c r="C27" s="21" t="s">
        <v>13</v>
      </c>
      <c r="D27" s="16"/>
      <c r="E27" s="15">
        <v>8061.22</v>
      </c>
      <c r="F27" s="3">
        <f t="shared" si="4"/>
        <v>-8061.22</v>
      </c>
      <c r="G27" s="2">
        <f t="shared" si="5"/>
        <v>2026</v>
      </c>
      <c r="H27" s="2">
        <f t="shared" si="6"/>
        <v>4</v>
      </c>
      <c r="I27" s="2">
        <f t="shared" si="3"/>
        <v>2</v>
      </c>
    </row>
    <row r="28" spans="1:9" x14ac:dyDescent="0.25">
      <c r="A28" s="13" t="s">
        <v>64</v>
      </c>
      <c r="B28" s="2" t="s">
        <v>14</v>
      </c>
      <c r="C28" s="18" t="s">
        <v>100</v>
      </c>
      <c r="D28" s="16"/>
      <c r="E28" s="15">
        <v>3173.14</v>
      </c>
      <c r="F28" s="3">
        <f t="shared" si="4"/>
        <v>-3173.14</v>
      </c>
      <c r="G28" s="2">
        <f t="shared" si="5"/>
        <v>2026</v>
      </c>
      <c r="H28" s="2">
        <f t="shared" si="6"/>
        <v>4</v>
      </c>
      <c r="I28" s="2">
        <f t="shared" si="3"/>
        <v>2</v>
      </c>
    </row>
    <row r="29" spans="1:9" x14ac:dyDescent="0.25">
      <c r="A29" s="13" t="s">
        <v>64</v>
      </c>
      <c r="B29" s="2" t="s">
        <v>14</v>
      </c>
      <c r="C29" s="18" t="s">
        <v>16</v>
      </c>
      <c r="D29" s="16"/>
      <c r="E29" s="15">
        <v>2407.6799999999998</v>
      </c>
      <c r="F29" s="3">
        <f t="shared" si="4"/>
        <v>-2407.6799999999998</v>
      </c>
      <c r="G29" s="2">
        <f t="shared" si="5"/>
        <v>2026</v>
      </c>
      <c r="H29" s="2">
        <f t="shared" si="6"/>
        <v>4</v>
      </c>
      <c r="I29" s="2">
        <f t="shared" si="3"/>
        <v>2</v>
      </c>
    </row>
    <row r="30" spans="1:9" x14ac:dyDescent="0.25">
      <c r="A30" s="13" t="s">
        <v>64</v>
      </c>
      <c r="B30" s="2" t="s">
        <v>14</v>
      </c>
      <c r="C30" s="18" t="s">
        <v>16</v>
      </c>
      <c r="D30" s="16"/>
      <c r="E30" s="15">
        <v>6879.7</v>
      </c>
      <c r="F30" s="3">
        <f t="shared" si="4"/>
        <v>-6879.7</v>
      </c>
      <c r="G30" s="2">
        <f t="shared" si="5"/>
        <v>2026</v>
      </c>
      <c r="H30" s="2">
        <f t="shared" si="6"/>
        <v>4</v>
      </c>
      <c r="I30" s="2">
        <f t="shared" si="3"/>
        <v>2</v>
      </c>
    </row>
    <row r="31" spans="1:9" x14ac:dyDescent="0.25">
      <c r="A31" s="13" t="s">
        <v>64</v>
      </c>
      <c r="B31" s="2" t="s">
        <v>14</v>
      </c>
      <c r="C31" s="18" t="s">
        <v>18</v>
      </c>
      <c r="D31" s="16"/>
      <c r="E31" s="17">
        <v>650</v>
      </c>
      <c r="F31" s="3">
        <f t="shared" si="4"/>
        <v>-650</v>
      </c>
      <c r="G31" s="2">
        <f t="shared" si="5"/>
        <v>2026</v>
      </c>
      <c r="H31" s="2">
        <f t="shared" si="6"/>
        <v>4</v>
      </c>
      <c r="I31" s="2">
        <f t="shared" si="3"/>
        <v>2</v>
      </c>
    </row>
    <row r="32" spans="1:9" x14ac:dyDescent="0.25">
      <c r="A32" s="13" t="s">
        <v>65</v>
      </c>
      <c r="B32" s="2" t="s">
        <v>10</v>
      </c>
      <c r="C32" s="23" t="s">
        <v>11</v>
      </c>
      <c r="D32" s="15">
        <v>14112</v>
      </c>
      <c r="E32" s="16"/>
      <c r="F32" s="3">
        <f t="shared" si="4"/>
        <v>14112</v>
      </c>
      <c r="G32" s="2">
        <f t="shared" si="5"/>
        <v>2026</v>
      </c>
      <c r="H32" s="2">
        <f t="shared" si="6"/>
        <v>4</v>
      </c>
      <c r="I32" s="2">
        <f t="shared" si="3"/>
        <v>2</v>
      </c>
    </row>
    <row r="33" spans="1:9" x14ac:dyDescent="0.25">
      <c r="A33" s="13" t="s">
        <v>65</v>
      </c>
      <c r="B33" s="2" t="s">
        <v>10</v>
      </c>
      <c r="C33" s="21" t="s">
        <v>13</v>
      </c>
      <c r="D33" s="15">
        <v>2116.8000000000002</v>
      </c>
      <c r="E33" s="16"/>
      <c r="F33" s="3">
        <f t="shared" si="4"/>
        <v>2116.8000000000002</v>
      </c>
      <c r="G33" s="2">
        <f t="shared" si="5"/>
        <v>2026</v>
      </c>
      <c r="H33" s="2">
        <f t="shared" si="6"/>
        <v>4</v>
      </c>
      <c r="I33" s="2">
        <f t="shared" si="3"/>
        <v>2</v>
      </c>
    </row>
    <row r="34" spans="1:9" x14ac:dyDescent="0.25">
      <c r="A34" s="13" t="s">
        <v>65</v>
      </c>
      <c r="B34" s="2" t="s">
        <v>10</v>
      </c>
      <c r="C34" s="18" t="s">
        <v>12</v>
      </c>
      <c r="D34" s="15">
        <v>2163.92</v>
      </c>
      <c r="E34" s="16"/>
      <c r="F34" s="3">
        <f t="shared" si="4"/>
        <v>2163.92</v>
      </c>
      <c r="G34" s="2">
        <f t="shared" si="5"/>
        <v>2026</v>
      </c>
      <c r="H34" s="2">
        <f t="shared" si="6"/>
        <v>4</v>
      </c>
      <c r="I34" s="2">
        <f t="shared" si="3"/>
        <v>2</v>
      </c>
    </row>
    <row r="35" spans="1:9" x14ac:dyDescent="0.25">
      <c r="A35" s="13" t="s">
        <v>65</v>
      </c>
      <c r="B35" s="2" t="s">
        <v>14</v>
      </c>
      <c r="C35" s="21" t="s">
        <v>13</v>
      </c>
      <c r="D35" s="16"/>
      <c r="E35" s="15">
        <v>2116.8000000000002</v>
      </c>
      <c r="F35" s="3">
        <f t="shared" si="4"/>
        <v>-2116.8000000000002</v>
      </c>
      <c r="G35" s="2">
        <f t="shared" si="5"/>
        <v>2026</v>
      </c>
      <c r="H35" s="2">
        <f t="shared" si="6"/>
        <v>4</v>
      </c>
      <c r="I35" s="2">
        <f t="shared" si="3"/>
        <v>2</v>
      </c>
    </row>
    <row r="36" spans="1:9" x14ac:dyDescent="0.25">
      <c r="A36" s="13" t="s">
        <v>65</v>
      </c>
      <c r="B36" s="2" t="s">
        <v>14</v>
      </c>
      <c r="C36" s="18" t="s">
        <v>16</v>
      </c>
      <c r="D36" s="16"/>
      <c r="E36" s="17">
        <v>963.56</v>
      </c>
      <c r="F36" s="3">
        <f t="shared" si="4"/>
        <v>-963.56</v>
      </c>
      <c r="G36" s="2">
        <f t="shared" si="5"/>
        <v>2026</v>
      </c>
      <c r="H36" s="2">
        <f t="shared" si="6"/>
        <v>4</v>
      </c>
      <c r="I36" s="2">
        <f t="shared" si="3"/>
        <v>2</v>
      </c>
    </row>
    <row r="37" spans="1:9" x14ac:dyDescent="0.25">
      <c r="A37" s="13" t="s">
        <v>65</v>
      </c>
      <c r="B37" s="2" t="s">
        <v>14</v>
      </c>
      <c r="C37" s="18" t="s">
        <v>20</v>
      </c>
      <c r="D37" s="16"/>
      <c r="E37" s="15">
        <v>35775</v>
      </c>
      <c r="F37" s="3">
        <f t="shared" si="4"/>
        <v>-35775</v>
      </c>
      <c r="G37" s="2">
        <f t="shared" si="5"/>
        <v>2026</v>
      </c>
      <c r="H37" s="2">
        <f t="shared" si="6"/>
        <v>4</v>
      </c>
      <c r="I37" s="2">
        <f t="shared" si="3"/>
        <v>2</v>
      </c>
    </row>
    <row r="38" spans="1:9" x14ac:dyDescent="0.25">
      <c r="A38" s="13" t="s">
        <v>65</v>
      </c>
      <c r="B38" s="2" t="s">
        <v>14</v>
      </c>
      <c r="C38" s="26" t="s">
        <v>101</v>
      </c>
      <c r="D38" s="16"/>
      <c r="E38" s="15">
        <v>40122</v>
      </c>
      <c r="F38" s="3">
        <f t="shared" si="4"/>
        <v>-40122</v>
      </c>
      <c r="G38" s="2">
        <f t="shared" si="5"/>
        <v>2026</v>
      </c>
      <c r="H38" s="2">
        <f t="shared" si="6"/>
        <v>4</v>
      </c>
      <c r="I38" s="2">
        <f t="shared" si="3"/>
        <v>2</v>
      </c>
    </row>
    <row r="39" spans="1:9" x14ac:dyDescent="0.25">
      <c r="A39" s="13" t="s">
        <v>66</v>
      </c>
      <c r="B39" s="2" t="s">
        <v>14</v>
      </c>
      <c r="C39" s="18" t="s">
        <v>18</v>
      </c>
      <c r="D39" s="16"/>
      <c r="E39" s="15">
        <v>1888.2</v>
      </c>
      <c r="F39" s="3">
        <f t="shared" si="4"/>
        <v>-1888.2</v>
      </c>
      <c r="G39" s="2">
        <f t="shared" si="5"/>
        <v>2026</v>
      </c>
      <c r="H39" s="2">
        <f t="shared" si="6"/>
        <v>4</v>
      </c>
      <c r="I39" s="2">
        <f t="shared" si="3"/>
        <v>2</v>
      </c>
    </row>
    <row r="40" spans="1:9" x14ac:dyDescent="0.25">
      <c r="A40" s="13" t="s">
        <v>67</v>
      </c>
      <c r="B40" s="2" t="s">
        <v>10</v>
      </c>
      <c r="C40" s="23" t="s">
        <v>11</v>
      </c>
      <c r="D40" s="15">
        <v>5250</v>
      </c>
      <c r="E40" s="16"/>
      <c r="F40" s="3">
        <f t="shared" si="4"/>
        <v>5250</v>
      </c>
      <c r="G40" s="2">
        <f t="shared" si="5"/>
        <v>2026</v>
      </c>
      <c r="H40" s="2">
        <f t="shared" si="6"/>
        <v>4</v>
      </c>
      <c r="I40" s="2">
        <f t="shared" si="3"/>
        <v>2</v>
      </c>
    </row>
    <row r="41" spans="1:9" x14ac:dyDescent="0.25">
      <c r="A41" s="13" t="s">
        <v>67</v>
      </c>
      <c r="B41" s="2" t="s">
        <v>10</v>
      </c>
      <c r="C41" s="23" t="s">
        <v>11</v>
      </c>
      <c r="D41" s="15">
        <v>8710</v>
      </c>
      <c r="E41" s="16"/>
      <c r="F41" s="3">
        <f t="shared" si="4"/>
        <v>8710</v>
      </c>
      <c r="G41" s="2">
        <f t="shared" si="5"/>
        <v>2026</v>
      </c>
      <c r="H41" s="2">
        <f t="shared" si="6"/>
        <v>4</v>
      </c>
      <c r="I41" s="2">
        <f t="shared" si="3"/>
        <v>2</v>
      </c>
    </row>
    <row r="42" spans="1:9" x14ac:dyDescent="0.25">
      <c r="A42" s="13" t="s">
        <v>67</v>
      </c>
      <c r="B42" s="2" t="s">
        <v>10</v>
      </c>
      <c r="C42" s="23" t="s">
        <v>11</v>
      </c>
      <c r="D42" s="15">
        <v>18335</v>
      </c>
      <c r="E42" s="16"/>
      <c r="F42" s="3">
        <f t="shared" si="4"/>
        <v>18335</v>
      </c>
      <c r="G42" s="2">
        <f t="shared" si="5"/>
        <v>2026</v>
      </c>
      <c r="H42" s="2">
        <f t="shared" si="6"/>
        <v>4</v>
      </c>
      <c r="I42" s="2">
        <f t="shared" si="3"/>
        <v>2</v>
      </c>
    </row>
    <row r="43" spans="1:9" x14ac:dyDescent="0.25">
      <c r="A43" s="13" t="s">
        <v>67</v>
      </c>
      <c r="B43" s="2" t="s">
        <v>10</v>
      </c>
      <c r="C43" s="23" t="s">
        <v>11</v>
      </c>
      <c r="D43" s="15">
        <v>6450</v>
      </c>
      <c r="E43" s="16"/>
      <c r="F43" s="3">
        <f t="shared" si="4"/>
        <v>6450</v>
      </c>
      <c r="G43" s="2">
        <f t="shared" si="5"/>
        <v>2026</v>
      </c>
      <c r="H43" s="2">
        <f t="shared" si="6"/>
        <v>4</v>
      </c>
      <c r="I43" s="2">
        <f t="shared" si="3"/>
        <v>2</v>
      </c>
    </row>
    <row r="44" spans="1:9" x14ac:dyDescent="0.25">
      <c r="A44" s="13" t="s">
        <v>67</v>
      </c>
      <c r="B44" s="2" t="s">
        <v>10</v>
      </c>
      <c r="C44" s="23" t="s">
        <v>11</v>
      </c>
      <c r="D44" s="15">
        <v>240900</v>
      </c>
      <c r="E44" s="16"/>
      <c r="F44" s="3">
        <f t="shared" si="4"/>
        <v>240900</v>
      </c>
      <c r="G44" s="2">
        <f t="shared" si="5"/>
        <v>2026</v>
      </c>
      <c r="H44" s="2">
        <f t="shared" si="6"/>
        <v>4</v>
      </c>
      <c r="I44" s="2">
        <f t="shared" si="3"/>
        <v>2</v>
      </c>
    </row>
    <row r="45" spans="1:9" x14ac:dyDescent="0.25">
      <c r="A45" s="13" t="s">
        <v>67</v>
      </c>
      <c r="B45" s="2" t="s">
        <v>10</v>
      </c>
      <c r="C45" s="21" t="s">
        <v>13</v>
      </c>
      <c r="D45" s="17">
        <v>787.5</v>
      </c>
      <c r="E45" s="16"/>
      <c r="F45" s="3">
        <f t="shared" si="4"/>
        <v>787.5</v>
      </c>
      <c r="G45" s="2">
        <f t="shared" si="5"/>
        <v>2026</v>
      </c>
      <c r="H45" s="2">
        <f t="shared" si="6"/>
        <v>4</v>
      </c>
      <c r="I45" s="2">
        <f t="shared" si="3"/>
        <v>2</v>
      </c>
    </row>
    <row r="46" spans="1:9" x14ac:dyDescent="0.25">
      <c r="A46" s="13" t="s">
        <v>67</v>
      </c>
      <c r="B46" s="2" t="s">
        <v>10</v>
      </c>
      <c r="C46" s="21" t="s">
        <v>13</v>
      </c>
      <c r="D46" s="15">
        <v>1306.5</v>
      </c>
      <c r="E46" s="16"/>
      <c r="F46" s="3">
        <f t="shared" si="4"/>
        <v>1306.5</v>
      </c>
      <c r="G46" s="2">
        <f t="shared" si="5"/>
        <v>2026</v>
      </c>
      <c r="H46" s="2">
        <f t="shared" si="6"/>
        <v>4</v>
      </c>
      <c r="I46" s="2">
        <f t="shared" si="3"/>
        <v>2</v>
      </c>
    </row>
    <row r="47" spans="1:9" x14ac:dyDescent="0.25">
      <c r="A47" s="13" t="s">
        <v>67</v>
      </c>
      <c r="B47" s="2" t="s">
        <v>10</v>
      </c>
      <c r="C47" s="21" t="s">
        <v>13</v>
      </c>
      <c r="D47" s="15">
        <v>2750.25</v>
      </c>
      <c r="E47" s="16"/>
      <c r="F47" s="3">
        <f t="shared" si="4"/>
        <v>2750.25</v>
      </c>
      <c r="G47" s="2">
        <f t="shared" si="5"/>
        <v>2026</v>
      </c>
      <c r="H47" s="2">
        <f t="shared" si="6"/>
        <v>4</v>
      </c>
      <c r="I47" s="2">
        <f t="shared" si="3"/>
        <v>2</v>
      </c>
    </row>
    <row r="48" spans="1:9" x14ac:dyDescent="0.25">
      <c r="A48" s="13" t="s">
        <v>67</v>
      </c>
      <c r="B48" s="2" t="s">
        <v>10</v>
      </c>
      <c r="C48" s="21" t="s">
        <v>13</v>
      </c>
      <c r="D48" s="17">
        <v>967.5</v>
      </c>
      <c r="E48" s="16"/>
      <c r="F48" s="3">
        <f t="shared" si="4"/>
        <v>967.5</v>
      </c>
      <c r="G48" s="2">
        <f t="shared" si="5"/>
        <v>2026</v>
      </c>
      <c r="H48" s="2">
        <f t="shared" si="6"/>
        <v>4</v>
      </c>
      <c r="I48" s="2">
        <f t="shared" si="3"/>
        <v>2</v>
      </c>
    </row>
    <row r="49" spans="1:9" x14ac:dyDescent="0.25">
      <c r="A49" s="13" t="s">
        <v>67</v>
      </c>
      <c r="B49" s="2" t="s">
        <v>10</v>
      </c>
      <c r="C49" s="21" t="s">
        <v>13</v>
      </c>
      <c r="D49" s="15">
        <v>36135</v>
      </c>
      <c r="E49" s="16"/>
      <c r="F49" s="3">
        <f t="shared" si="4"/>
        <v>36135</v>
      </c>
      <c r="G49" s="2">
        <f t="shared" si="5"/>
        <v>2026</v>
      </c>
      <c r="H49" s="2">
        <f t="shared" si="6"/>
        <v>4</v>
      </c>
      <c r="I49" s="2">
        <f t="shared" si="3"/>
        <v>2</v>
      </c>
    </row>
    <row r="50" spans="1:9" x14ac:dyDescent="0.25">
      <c r="A50" s="13" t="s">
        <v>67</v>
      </c>
      <c r="B50" s="2" t="s">
        <v>10</v>
      </c>
      <c r="C50" s="18" t="s">
        <v>12</v>
      </c>
      <c r="D50" s="15">
        <v>6506.36</v>
      </c>
      <c r="E50" s="16"/>
      <c r="F50" s="3">
        <f t="shared" si="4"/>
        <v>6506.36</v>
      </c>
      <c r="G50" s="2">
        <f t="shared" si="5"/>
        <v>2026</v>
      </c>
      <c r="H50" s="2">
        <f t="shared" si="6"/>
        <v>4</v>
      </c>
      <c r="I50" s="2">
        <f t="shared" si="3"/>
        <v>2</v>
      </c>
    </row>
    <row r="51" spans="1:9" x14ac:dyDescent="0.25">
      <c r="A51" s="13" t="s">
        <v>67</v>
      </c>
      <c r="B51" s="2" t="s">
        <v>10</v>
      </c>
      <c r="C51" s="23" t="s">
        <v>22</v>
      </c>
      <c r="D51" s="15">
        <v>37838.9</v>
      </c>
      <c r="E51" s="16"/>
      <c r="F51" s="3">
        <f t="shared" si="4"/>
        <v>37838.9</v>
      </c>
      <c r="G51" s="2">
        <f t="shared" si="5"/>
        <v>2026</v>
      </c>
      <c r="H51" s="2">
        <f t="shared" si="6"/>
        <v>4</v>
      </c>
      <c r="I51" s="2">
        <f t="shared" si="3"/>
        <v>2</v>
      </c>
    </row>
    <row r="52" spans="1:9" x14ac:dyDescent="0.25">
      <c r="A52" s="13" t="s">
        <v>67</v>
      </c>
      <c r="B52" s="2" t="s">
        <v>10</v>
      </c>
      <c r="C52" s="23" t="s">
        <v>23</v>
      </c>
      <c r="D52" s="15">
        <v>4000000</v>
      </c>
      <c r="E52" s="16"/>
      <c r="F52" s="3">
        <f t="shared" si="4"/>
        <v>4000000</v>
      </c>
      <c r="G52" s="2">
        <f t="shared" si="5"/>
        <v>2026</v>
      </c>
      <c r="H52" s="2">
        <f t="shared" si="6"/>
        <v>4</v>
      </c>
      <c r="I52" s="2">
        <f t="shared" si="3"/>
        <v>2</v>
      </c>
    </row>
    <row r="53" spans="1:9" x14ac:dyDescent="0.25">
      <c r="A53" s="13" t="s">
        <v>67</v>
      </c>
      <c r="B53" s="2" t="s">
        <v>14</v>
      </c>
      <c r="C53" s="21" t="s">
        <v>13</v>
      </c>
      <c r="D53" s="16"/>
      <c r="E53" s="17">
        <v>787.5</v>
      </c>
      <c r="F53" s="3">
        <f t="shared" si="4"/>
        <v>-787.5</v>
      </c>
      <c r="G53" s="2">
        <f t="shared" si="5"/>
        <v>2026</v>
      </c>
      <c r="H53" s="2">
        <f t="shared" si="6"/>
        <v>4</v>
      </c>
      <c r="I53" s="2">
        <f t="shared" si="3"/>
        <v>2</v>
      </c>
    </row>
    <row r="54" spans="1:9" x14ac:dyDescent="0.25">
      <c r="A54" s="13" t="s">
        <v>67</v>
      </c>
      <c r="B54" s="2" t="s">
        <v>14</v>
      </c>
      <c r="C54" s="21" t="s">
        <v>13</v>
      </c>
      <c r="D54" s="16"/>
      <c r="E54" s="15">
        <v>1306.5</v>
      </c>
      <c r="F54" s="3">
        <f t="shared" si="4"/>
        <v>-1306.5</v>
      </c>
      <c r="G54" s="2">
        <f t="shared" si="5"/>
        <v>2026</v>
      </c>
      <c r="H54" s="2">
        <f t="shared" si="6"/>
        <v>4</v>
      </c>
      <c r="I54" s="2">
        <f t="shared" si="3"/>
        <v>2</v>
      </c>
    </row>
    <row r="55" spans="1:9" x14ac:dyDescent="0.25">
      <c r="A55" s="13" t="s">
        <v>67</v>
      </c>
      <c r="B55" s="2" t="s">
        <v>14</v>
      </c>
      <c r="C55" s="18" t="s">
        <v>25</v>
      </c>
      <c r="D55" s="16"/>
      <c r="E55" s="15">
        <v>59770</v>
      </c>
      <c r="F55" s="3">
        <f t="shared" si="4"/>
        <v>-59770</v>
      </c>
      <c r="G55" s="2">
        <f t="shared" si="5"/>
        <v>2026</v>
      </c>
      <c r="H55" s="2">
        <f t="shared" si="6"/>
        <v>4</v>
      </c>
      <c r="I55" s="2">
        <f t="shared" si="3"/>
        <v>2</v>
      </c>
    </row>
    <row r="56" spans="1:9" x14ac:dyDescent="0.25">
      <c r="A56" s="13" t="s">
        <v>67</v>
      </c>
      <c r="B56" s="2" t="s">
        <v>14</v>
      </c>
      <c r="C56" s="18" t="s">
        <v>17</v>
      </c>
      <c r="D56" s="16"/>
      <c r="E56" s="17">
        <v>3.85</v>
      </c>
      <c r="F56" s="3">
        <f t="shared" si="4"/>
        <v>-3.85</v>
      </c>
      <c r="G56" s="2">
        <f t="shared" si="5"/>
        <v>2026</v>
      </c>
      <c r="H56" s="2">
        <f t="shared" si="6"/>
        <v>4</v>
      </c>
      <c r="I56" s="2">
        <f t="shared" si="3"/>
        <v>2</v>
      </c>
    </row>
    <row r="57" spans="1:9" x14ac:dyDescent="0.25">
      <c r="A57" s="13" t="s">
        <v>67</v>
      </c>
      <c r="B57" s="2" t="s">
        <v>14</v>
      </c>
      <c r="C57" s="18" t="s">
        <v>100</v>
      </c>
      <c r="D57" s="16"/>
      <c r="E57" s="15">
        <v>7438.71</v>
      </c>
      <c r="F57" s="3">
        <f t="shared" si="4"/>
        <v>-7438.71</v>
      </c>
      <c r="G57" s="2">
        <f t="shared" si="5"/>
        <v>2026</v>
      </c>
      <c r="H57" s="2">
        <f t="shared" si="6"/>
        <v>4</v>
      </c>
      <c r="I57" s="2">
        <f t="shared" si="3"/>
        <v>2</v>
      </c>
    </row>
    <row r="58" spans="1:9" x14ac:dyDescent="0.25">
      <c r="A58" s="13" t="s">
        <v>67</v>
      </c>
      <c r="B58" s="2" t="s">
        <v>14</v>
      </c>
      <c r="C58" s="21" t="s">
        <v>13</v>
      </c>
      <c r="D58" s="16"/>
      <c r="E58" s="15">
        <v>2750.25</v>
      </c>
      <c r="F58" s="3">
        <f t="shared" si="4"/>
        <v>-2750.25</v>
      </c>
      <c r="G58" s="2">
        <f t="shared" si="5"/>
        <v>2026</v>
      </c>
      <c r="H58" s="2">
        <f t="shared" si="6"/>
        <v>4</v>
      </c>
      <c r="I58" s="2">
        <f t="shared" si="3"/>
        <v>2</v>
      </c>
    </row>
    <row r="59" spans="1:9" x14ac:dyDescent="0.25">
      <c r="A59" s="13" t="s">
        <v>67</v>
      </c>
      <c r="B59" s="2" t="s">
        <v>14</v>
      </c>
      <c r="C59" s="21" t="s">
        <v>13</v>
      </c>
      <c r="D59" s="16"/>
      <c r="E59" s="17">
        <v>967.5</v>
      </c>
      <c r="F59" s="3">
        <f t="shared" si="4"/>
        <v>-967.5</v>
      </c>
      <c r="G59" s="2">
        <f t="shared" si="5"/>
        <v>2026</v>
      </c>
      <c r="H59" s="2">
        <f t="shared" si="6"/>
        <v>4</v>
      </c>
      <c r="I59" s="2">
        <f t="shared" si="3"/>
        <v>2</v>
      </c>
    </row>
    <row r="60" spans="1:9" x14ac:dyDescent="0.25">
      <c r="A60" s="13" t="s">
        <v>67</v>
      </c>
      <c r="B60" s="2" t="s">
        <v>14</v>
      </c>
      <c r="C60" s="18" t="s">
        <v>16</v>
      </c>
      <c r="D60" s="16"/>
      <c r="E60" s="17">
        <v>244.37</v>
      </c>
      <c r="F60" s="3">
        <f t="shared" si="4"/>
        <v>-244.37</v>
      </c>
      <c r="G60" s="2">
        <f t="shared" si="5"/>
        <v>2026</v>
      </c>
      <c r="H60" s="2">
        <f t="shared" si="6"/>
        <v>4</v>
      </c>
      <c r="I60" s="2">
        <f t="shared" si="3"/>
        <v>2</v>
      </c>
    </row>
    <row r="61" spans="1:9" x14ac:dyDescent="0.25">
      <c r="A61" s="13" t="s">
        <v>67</v>
      </c>
      <c r="B61" s="2" t="s">
        <v>14</v>
      </c>
      <c r="C61" s="18" t="s">
        <v>27</v>
      </c>
      <c r="D61" s="16"/>
      <c r="E61" s="15">
        <v>7740</v>
      </c>
      <c r="F61" s="3">
        <f t="shared" si="4"/>
        <v>-7740</v>
      </c>
      <c r="G61" s="2">
        <f t="shared" si="5"/>
        <v>2026</v>
      </c>
      <c r="H61" s="2">
        <f t="shared" si="6"/>
        <v>4</v>
      </c>
      <c r="I61" s="2">
        <f t="shared" si="3"/>
        <v>2</v>
      </c>
    </row>
    <row r="62" spans="1:9" x14ac:dyDescent="0.25">
      <c r="A62" s="13" t="s">
        <v>67</v>
      </c>
      <c r="B62" s="2" t="s">
        <v>14</v>
      </c>
      <c r="C62" s="21" t="s">
        <v>13</v>
      </c>
      <c r="D62" s="16"/>
      <c r="E62" s="15">
        <v>36135</v>
      </c>
      <c r="F62" s="3">
        <f t="shared" si="4"/>
        <v>-36135</v>
      </c>
      <c r="G62" s="2">
        <f t="shared" si="5"/>
        <v>2026</v>
      </c>
      <c r="H62" s="2">
        <f t="shared" si="6"/>
        <v>4</v>
      </c>
      <c r="I62" s="2">
        <f t="shared" si="3"/>
        <v>2</v>
      </c>
    </row>
    <row r="63" spans="1:9" x14ac:dyDescent="0.25">
      <c r="A63" s="13" t="s">
        <v>67</v>
      </c>
      <c r="B63" s="2" t="s">
        <v>14</v>
      </c>
      <c r="C63" s="21" t="s">
        <v>102</v>
      </c>
      <c r="D63" s="16"/>
      <c r="E63" s="15">
        <v>61160</v>
      </c>
      <c r="F63" s="3">
        <f t="shared" si="4"/>
        <v>-61160</v>
      </c>
      <c r="G63" s="2">
        <f t="shared" si="5"/>
        <v>2026</v>
      </c>
      <c r="H63" s="2">
        <f t="shared" si="6"/>
        <v>4</v>
      </c>
      <c r="I63" s="2">
        <f t="shared" si="3"/>
        <v>2</v>
      </c>
    </row>
    <row r="64" spans="1:9" x14ac:dyDescent="0.25">
      <c r="A64" s="13" t="s">
        <v>67</v>
      </c>
      <c r="B64" s="2" t="s">
        <v>14</v>
      </c>
      <c r="C64" s="18" t="s">
        <v>24</v>
      </c>
      <c r="D64" s="16"/>
      <c r="E64" s="15">
        <v>2500</v>
      </c>
      <c r="F64" s="3">
        <f t="shared" si="4"/>
        <v>-2500</v>
      </c>
      <c r="G64" s="2">
        <f t="shared" si="5"/>
        <v>2026</v>
      </c>
      <c r="H64" s="2">
        <f t="shared" si="6"/>
        <v>4</v>
      </c>
      <c r="I64" s="2">
        <f t="shared" si="3"/>
        <v>2</v>
      </c>
    </row>
    <row r="65" spans="1:9" x14ac:dyDescent="0.25">
      <c r="A65" s="13" t="s">
        <v>67</v>
      </c>
      <c r="B65" s="2" t="s">
        <v>14</v>
      </c>
      <c r="C65" s="18" t="s">
        <v>26</v>
      </c>
      <c r="D65" s="16"/>
      <c r="E65" s="15">
        <v>200000</v>
      </c>
      <c r="F65" s="3">
        <f t="shared" si="4"/>
        <v>-200000</v>
      </c>
      <c r="G65" s="2">
        <f t="shared" si="5"/>
        <v>2026</v>
      </c>
      <c r="H65" s="2">
        <f t="shared" si="6"/>
        <v>4</v>
      </c>
      <c r="I65" s="2">
        <f t="shared" si="3"/>
        <v>2</v>
      </c>
    </row>
    <row r="66" spans="1:9" x14ac:dyDescent="0.25">
      <c r="A66" s="13" t="s">
        <v>67</v>
      </c>
      <c r="B66" s="2" t="s">
        <v>14</v>
      </c>
      <c r="C66" s="18" t="s">
        <v>26</v>
      </c>
      <c r="D66" s="16"/>
      <c r="E66" s="15">
        <v>200000</v>
      </c>
      <c r="F66" s="3">
        <f t="shared" si="4"/>
        <v>-200000</v>
      </c>
      <c r="G66" s="2">
        <f t="shared" si="5"/>
        <v>2026</v>
      </c>
      <c r="H66" s="2">
        <f t="shared" si="6"/>
        <v>4</v>
      </c>
      <c r="I66" s="2">
        <f t="shared" si="3"/>
        <v>2</v>
      </c>
    </row>
    <row r="67" spans="1:9" x14ac:dyDescent="0.25">
      <c r="A67" s="13" t="s">
        <v>67</v>
      </c>
      <c r="B67" s="2" t="s">
        <v>14</v>
      </c>
      <c r="C67" s="23" t="s">
        <v>23</v>
      </c>
      <c r="D67" s="16"/>
      <c r="E67" s="15">
        <v>4000000</v>
      </c>
      <c r="F67" s="3">
        <f t="shared" si="4"/>
        <v>-4000000</v>
      </c>
      <c r="G67" s="2">
        <f t="shared" si="5"/>
        <v>2026</v>
      </c>
      <c r="H67" s="2">
        <f t="shared" si="6"/>
        <v>4</v>
      </c>
      <c r="I67" s="2">
        <f t="shared" si="3"/>
        <v>2</v>
      </c>
    </row>
    <row r="68" spans="1:9" x14ac:dyDescent="0.25">
      <c r="A68" s="13" t="s">
        <v>67</v>
      </c>
      <c r="B68" s="2" t="s">
        <v>14</v>
      </c>
      <c r="C68" s="21" t="s">
        <v>36</v>
      </c>
      <c r="D68" s="15"/>
      <c r="E68" s="16">
        <v>2228</v>
      </c>
      <c r="F68" s="3">
        <f t="shared" si="4"/>
        <v>-2228</v>
      </c>
      <c r="G68" s="2">
        <f t="shared" si="5"/>
        <v>2026</v>
      </c>
      <c r="H68" s="2">
        <f t="shared" si="6"/>
        <v>4</v>
      </c>
      <c r="I68" s="2">
        <f t="shared" ref="I68:I131" si="7">ROUNDUP(H68/3,0)</f>
        <v>2</v>
      </c>
    </row>
    <row r="69" spans="1:9" x14ac:dyDescent="0.25">
      <c r="A69" s="13" t="s">
        <v>68</v>
      </c>
      <c r="B69" s="2" t="s">
        <v>10</v>
      </c>
      <c r="C69" s="23" t="s">
        <v>11</v>
      </c>
      <c r="D69" s="15">
        <v>6600</v>
      </c>
      <c r="E69" s="16"/>
      <c r="F69" s="3">
        <f t="shared" ref="F69:F132" si="8">D69-E69</f>
        <v>6600</v>
      </c>
      <c r="G69" s="2">
        <f t="shared" ref="G69:G132" si="9">YEAR(A69)</f>
        <v>2026</v>
      </c>
      <c r="H69" s="2">
        <f t="shared" ref="H69:H132" si="10">MONTH(A69)</f>
        <v>4</v>
      </c>
      <c r="I69" s="2">
        <f t="shared" si="7"/>
        <v>2</v>
      </c>
    </row>
    <row r="70" spans="1:9" x14ac:dyDescent="0.25">
      <c r="A70" s="13" t="s">
        <v>68</v>
      </c>
      <c r="B70" s="2" t="s">
        <v>10</v>
      </c>
      <c r="C70" s="23" t="s">
        <v>11</v>
      </c>
      <c r="D70" s="15">
        <v>7600</v>
      </c>
      <c r="E70" s="16"/>
      <c r="F70" s="3">
        <f t="shared" si="8"/>
        <v>7600</v>
      </c>
      <c r="G70" s="2">
        <f t="shared" si="9"/>
        <v>2026</v>
      </c>
      <c r="H70" s="2">
        <f t="shared" si="10"/>
        <v>4</v>
      </c>
      <c r="I70" s="2">
        <f t="shared" si="7"/>
        <v>2</v>
      </c>
    </row>
    <row r="71" spans="1:9" x14ac:dyDescent="0.25">
      <c r="A71" s="13" t="s">
        <v>68</v>
      </c>
      <c r="B71" s="2" t="s">
        <v>10</v>
      </c>
      <c r="C71" s="21" t="s">
        <v>11</v>
      </c>
      <c r="D71" s="17">
        <v>160711</v>
      </c>
      <c r="E71" s="16"/>
      <c r="F71" s="3">
        <f t="shared" si="8"/>
        <v>160711</v>
      </c>
      <c r="G71" s="2">
        <f t="shared" si="9"/>
        <v>2026</v>
      </c>
      <c r="H71" s="2">
        <f t="shared" si="10"/>
        <v>4</v>
      </c>
      <c r="I71" s="2">
        <f t="shared" si="7"/>
        <v>2</v>
      </c>
    </row>
    <row r="72" spans="1:9" x14ac:dyDescent="0.25">
      <c r="A72" s="13" t="s">
        <v>68</v>
      </c>
      <c r="B72" s="2" t="s">
        <v>10</v>
      </c>
      <c r="C72" s="21" t="s">
        <v>13</v>
      </c>
      <c r="D72" s="15">
        <v>990</v>
      </c>
      <c r="E72" s="16"/>
      <c r="F72" s="3">
        <f t="shared" si="8"/>
        <v>990</v>
      </c>
      <c r="G72" s="2">
        <f t="shared" si="9"/>
        <v>2026</v>
      </c>
      <c r="H72" s="2">
        <f t="shared" si="10"/>
        <v>4</v>
      </c>
      <c r="I72" s="2">
        <f t="shared" si="7"/>
        <v>2</v>
      </c>
    </row>
    <row r="73" spans="1:9" x14ac:dyDescent="0.25">
      <c r="A73" s="13" t="s">
        <v>68</v>
      </c>
      <c r="B73" s="2" t="s">
        <v>10</v>
      </c>
      <c r="C73" s="21" t="s">
        <v>13</v>
      </c>
      <c r="D73" s="15">
        <v>1140</v>
      </c>
      <c r="E73" s="16"/>
      <c r="F73" s="3">
        <f t="shared" si="8"/>
        <v>1140</v>
      </c>
      <c r="G73" s="2">
        <f t="shared" si="9"/>
        <v>2026</v>
      </c>
      <c r="H73" s="2">
        <f t="shared" si="10"/>
        <v>4</v>
      </c>
      <c r="I73" s="2">
        <f t="shared" si="7"/>
        <v>2</v>
      </c>
    </row>
    <row r="74" spans="1:9" x14ac:dyDescent="0.25">
      <c r="A74" s="13" t="s">
        <v>68</v>
      </c>
      <c r="B74" s="2" t="s">
        <v>10</v>
      </c>
      <c r="C74" s="18" t="s">
        <v>13</v>
      </c>
      <c r="D74" s="15">
        <v>24106.65</v>
      </c>
      <c r="E74" s="16"/>
      <c r="F74" s="3">
        <f t="shared" si="8"/>
        <v>24106.65</v>
      </c>
      <c r="G74" s="2">
        <f t="shared" si="9"/>
        <v>2026</v>
      </c>
      <c r="H74" s="2">
        <f t="shared" si="10"/>
        <v>4</v>
      </c>
      <c r="I74" s="2">
        <f t="shared" si="7"/>
        <v>2</v>
      </c>
    </row>
    <row r="75" spans="1:9" x14ac:dyDescent="0.25">
      <c r="A75" s="13" t="s">
        <v>68</v>
      </c>
      <c r="B75" s="2" t="s">
        <v>10</v>
      </c>
      <c r="C75" s="18" t="s">
        <v>12</v>
      </c>
      <c r="D75" s="15">
        <v>4959.99</v>
      </c>
      <c r="E75" s="16"/>
      <c r="F75" s="3">
        <f t="shared" si="8"/>
        <v>4959.99</v>
      </c>
      <c r="G75" s="2">
        <f t="shared" si="9"/>
        <v>2026</v>
      </c>
      <c r="H75" s="2">
        <f t="shared" si="10"/>
        <v>4</v>
      </c>
      <c r="I75" s="2">
        <f t="shared" si="7"/>
        <v>2</v>
      </c>
    </row>
    <row r="76" spans="1:9" x14ac:dyDescent="0.25">
      <c r="A76" s="13" t="s">
        <v>68</v>
      </c>
      <c r="B76" s="2" t="s">
        <v>14</v>
      </c>
      <c r="C76" s="22" t="s">
        <v>28</v>
      </c>
      <c r="D76" s="16"/>
      <c r="E76" s="15">
        <v>1125</v>
      </c>
      <c r="F76" s="3">
        <f t="shared" si="8"/>
        <v>-1125</v>
      </c>
      <c r="G76" s="2">
        <f t="shared" si="9"/>
        <v>2026</v>
      </c>
      <c r="H76" s="2">
        <f t="shared" si="10"/>
        <v>4</v>
      </c>
      <c r="I76" s="2">
        <f t="shared" si="7"/>
        <v>2</v>
      </c>
    </row>
    <row r="77" spans="1:9" x14ac:dyDescent="0.25">
      <c r="A77" s="13" t="s">
        <v>68</v>
      </c>
      <c r="B77" s="2" t="s">
        <v>14</v>
      </c>
      <c r="C77" s="21" t="s">
        <v>13</v>
      </c>
      <c r="D77" s="16"/>
      <c r="E77" s="17">
        <v>990</v>
      </c>
      <c r="F77" s="3">
        <f t="shared" si="8"/>
        <v>-990</v>
      </c>
      <c r="G77" s="2">
        <f t="shared" si="9"/>
        <v>2026</v>
      </c>
      <c r="H77" s="2">
        <f t="shared" si="10"/>
        <v>4</v>
      </c>
      <c r="I77" s="2">
        <f t="shared" si="7"/>
        <v>2</v>
      </c>
    </row>
    <row r="78" spans="1:9" x14ac:dyDescent="0.25">
      <c r="A78" s="13" t="s">
        <v>68</v>
      </c>
      <c r="B78" s="2" t="s">
        <v>14</v>
      </c>
      <c r="C78" s="18" t="s">
        <v>20</v>
      </c>
      <c r="D78" s="16"/>
      <c r="E78" s="15">
        <v>3500</v>
      </c>
      <c r="F78" s="3">
        <f t="shared" si="8"/>
        <v>-3500</v>
      </c>
      <c r="G78" s="2">
        <f t="shared" si="9"/>
        <v>2026</v>
      </c>
      <c r="H78" s="2">
        <f t="shared" si="10"/>
        <v>4</v>
      </c>
      <c r="I78" s="2">
        <f t="shared" si="7"/>
        <v>2</v>
      </c>
    </row>
    <row r="79" spans="1:9" x14ac:dyDescent="0.25">
      <c r="A79" s="13" t="s">
        <v>68</v>
      </c>
      <c r="B79" s="2" t="s">
        <v>14</v>
      </c>
      <c r="C79" s="21" t="s">
        <v>13</v>
      </c>
      <c r="D79" s="16"/>
      <c r="E79" s="15">
        <v>1140</v>
      </c>
      <c r="F79" s="3">
        <f t="shared" si="8"/>
        <v>-1140</v>
      </c>
      <c r="G79" s="2">
        <f t="shared" si="9"/>
        <v>2026</v>
      </c>
      <c r="H79" s="2">
        <f t="shared" si="10"/>
        <v>4</v>
      </c>
      <c r="I79" s="2">
        <f t="shared" si="7"/>
        <v>2</v>
      </c>
    </row>
    <row r="80" spans="1:9" x14ac:dyDescent="0.25">
      <c r="A80" s="13" t="s">
        <v>68</v>
      </c>
      <c r="B80" s="2" t="s">
        <v>14</v>
      </c>
      <c r="C80" s="21" t="s">
        <v>13</v>
      </c>
      <c r="D80" s="16"/>
      <c r="E80" s="15">
        <v>24106.65</v>
      </c>
      <c r="F80" s="3">
        <f t="shared" si="8"/>
        <v>-24106.65</v>
      </c>
      <c r="G80" s="2">
        <f t="shared" si="9"/>
        <v>2026</v>
      </c>
      <c r="H80" s="2">
        <f t="shared" si="10"/>
        <v>4</v>
      </c>
      <c r="I80" s="2">
        <f t="shared" si="7"/>
        <v>2</v>
      </c>
    </row>
    <row r="81" spans="1:9" x14ac:dyDescent="0.25">
      <c r="A81" s="13" t="s">
        <v>69</v>
      </c>
      <c r="B81" s="2" t="s">
        <v>10</v>
      </c>
      <c r="C81" s="23" t="s">
        <v>11</v>
      </c>
      <c r="D81" s="15">
        <v>30660</v>
      </c>
      <c r="E81" s="16"/>
      <c r="F81" s="3">
        <f t="shared" si="8"/>
        <v>30660</v>
      </c>
      <c r="G81" s="2">
        <f t="shared" si="9"/>
        <v>2026</v>
      </c>
      <c r="H81" s="2">
        <f t="shared" si="10"/>
        <v>4</v>
      </c>
      <c r="I81" s="2">
        <f t="shared" si="7"/>
        <v>2</v>
      </c>
    </row>
    <row r="82" spans="1:9" x14ac:dyDescent="0.25">
      <c r="A82" s="13" t="s">
        <v>69</v>
      </c>
      <c r="B82" s="2" t="s">
        <v>10</v>
      </c>
      <c r="C82" s="21" t="s">
        <v>13</v>
      </c>
      <c r="D82" s="17">
        <v>940</v>
      </c>
      <c r="E82" s="16"/>
      <c r="F82" s="3">
        <f t="shared" si="8"/>
        <v>940</v>
      </c>
      <c r="G82" s="2">
        <f t="shared" si="9"/>
        <v>2026</v>
      </c>
      <c r="H82" s="2">
        <f t="shared" si="10"/>
        <v>4</v>
      </c>
      <c r="I82" s="2">
        <f t="shared" si="7"/>
        <v>2</v>
      </c>
    </row>
    <row r="83" spans="1:9" x14ac:dyDescent="0.25">
      <c r="A83" s="13" t="s">
        <v>69</v>
      </c>
      <c r="B83" s="2" t="s">
        <v>10</v>
      </c>
      <c r="C83" s="23" t="s">
        <v>11</v>
      </c>
      <c r="D83" s="15">
        <v>3024</v>
      </c>
      <c r="E83" s="16"/>
      <c r="F83" s="3">
        <f t="shared" si="8"/>
        <v>3024</v>
      </c>
      <c r="G83" s="2">
        <f t="shared" si="9"/>
        <v>2026</v>
      </c>
      <c r="H83" s="2">
        <f t="shared" si="10"/>
        <v>4</v>
      </c>
      <c r="I83" s="2">
        <f t="shared" si="7"/>
        <v>2</v>
      </c>
    </row>
    <row r="84" spans="1:9" x14ac:dyDescent="0.25">
      <c r="A84" s="13" t="s">
        <v>69</v>
      </c>
      <c r="B84" s="2" t="s">
        <v>10</v>
      </c>
      <c r="C84" s="23" t="s">
        <v>11</v>
      </c>
      <c r="D84" s="15">
        <v>9000</v>
      </c>
      <c r="E84" s="16"/>
      <c r="F84" s="3">
        <f t="shared" si="8"/>
        <v>9000</v>
      </c>
      <c r="G84" s="2">
        <f t="shared" si="9"/>
        <v>2026</v>
      </c>
      <c r="H84" s="2">
        <f t="shared" si="10"/>
        <v>4</v>
      </c>
      <c r="I84" s="2">
        <f t="shared" si="7"/>
        <v>2</v>
      </c>
    </row>
    <row r="85" spans="1:9" x14ac:dyDescent="0.25">
      <c r="A85" s="13" t="s">
        <v>69</v>
      </c>
      <c r="B85" s="2" t="s">
        <v>10</v>
      </c>
      <c r="C85" s="23" t="s">
        <v>11</v>
      </c>
      <c r="D85" s="15">
        <v>162680</v>
      </c>
      <c r="E85" s="16"/>
      <c r="F85" s="3">
        <f t="shared" si="8"/>
        <v>162680</v>
      </c>
      <c r="G85" s="2">
        <f t="shared" si="9"/>
        <v>2026</v>
      </c>
      <c r="H85" s="2">
        <f t="shared" si="10"/>
        <v>4</v>
      </c>
      <c r="I85" s="2">
        <f t="shared" si="7"/>
        <v>2</v>
      </c>
    </row>
    <row r="86" spans="1:9" x14ac:dyDescent="0.25">
      <c r="A86" s="13" t="s">
        <v>69</v>
      </c>
      <c r="B86" s="2" t="s">
        <v>10</v>
      </c>
      <c r="C86" s="21" t="s">
        <v>13</v>
      </c>
      <c r="D86" s="15">
        <v>4599</v>
      </c>
      <c r="E86" s="16"/>
      <c r="F86" s="3">
        <f t="shared" si="8"/>
        <v>4599</v>
      </c>
      <c r="G86" s="2">
        <f t="shared" si="9"/>
        <v>2026</v>
      </c>
      <c r="H86" s="2">
        <f t="shared" si="10"/>
        <v>4</v>
      </c>
      <c r="I86" s="2">
        <f t="shared" si="7"/>
        <v>2</v>
      </c>
    </row>
    <row r="87" spans="1:9" x14ac:dyDescent="0.25">
      <c r="A87" s="13" t="s">
        <v>69</v>
      </c>
      <c r="B87" s="2" t="s">
        <v>10</v>
      </c>
      <c r="C87" s="21" t="s">
        <v>13</v>
      </c>
      <c r="D87" s="17">
        <v>453.6</v>
      </c>
      <c r="E87" s="16"/>
      <c r="F87" s="3">
        <f t="shared" si="8"/>
        <v>453.6</v>
      </c>
      <c r="G87" s="2">
        <f t="shared" si="9"/>
        <v>2026</v>
      </c>
      <c r="H87" s="2">
        <f t="shared" si="10"/>
        <v>4</v>
      </c>
      <c r="I87" s="2">
        <f t="shared" si="7"/>
        <v>2</v>
      </c>
    </row>
    <row r="88" spans="1:9" x14ac:dyDescent="0.25">
      <c r="A88" s="13" t="s">
        <v>69</v>
      </c>
      <c r="B88" s="2" t="s">
        <v>10</v>
      </c>
      <c r="C88" s="21" t="s">
        <v>13</v>
      </c>
      <c r="D88" s="15">
        <v>1350</v>
      </c>
      <c r="E88" s="16"/>
      <c r="F88" s="3">
        <f t="shared" si="8"/>
        <v>1350</v>
      </c>
      <c r="G88" s="2">
        <f t="shared" si="9"/>
        <v>2026</v>
      </c>
      <c r="H88" s="2">
        <f t="shared" si="10"/>
        <v>4</v>
      </c>
      <c r="I88" s="2">
        <f t="shared" si="7"/>
        <v>2</v>
      </c>
    </row>
    <row r="89" spans="1:9" x14ac:dyDescent="0.25">
      <c r="A89" s="13" t="s">
        <v>69</v>
      </c>
      <c r="B89" s="2" t="s">
        <v>10</v>
      </c>
      <c r="C89" s="21" t="s">
        <v>13</v>
      </c>
      <c r="D89" s="15">
        <v>24402</v>
      </c>
      <c r="E89" s="16"/>
      <c r="F89" s="3">
        <f t="shared" si="8"/>
        <v>24402</v>
      </c>
      <c r="G89" s="2">
        <f t="shared" si="9"/>
        <v>2026</v>
      </c>
      <c r="H89" s="2">
        <f t="shared" si="10"/>
        <v>4</v>
      </c>
      <c r="I89" s="2">
        <f t="shared" si="7"/>
        <v>2</v>
      </c>
    </row>
    <row r="90" spans="1:9" x14ac:dyDescent="0.25">
      <c r="A90" s="13" t="s">
        <v>69</v>
      </c>
      <c r="B90" s="2" t="s">
        <v>10</v>
      </c>
      <c r="C90" s="18" t="s">
        <v>12</v>
      </c>
      <c r="D90" s="15">
        <v>1021.16</v>
      </c>
      <c r="E90" s="16"/>
      <c r="F90" s="3">
        <f t="shared" si="8"/>
        <v>1021.16</v>
      </c>
      <c r="G90" s="2">
        <f t="shared" si="9"/>
        <v>2026</v>
      </c>
      <c r="H90" s="2">
        <f t="shared" si="10"/>
        <v>4</v>
      </c>
      <c r="I90" s="2">
        <f t="shared" si="7"/>
        <v>2</v>
      </c>
    </row>
    <row r="91" spans="1:9" x14ac:dyDescent="0.25">
      <c r="A91" s="13" t="s">
        <v>69</v>
      </c>
      <c r="B91" s="2" t="s">
        <v>14</v>
      </c>
      <c r="C91" s="21" t="s">
        <v>13</v>
      </c>
      <c r="D91" s="16"/>
      <c r="E91" s="15">
        <v>4599</v>
      </c>
      <c r="F91" s="3">
        <f t="shared" si="8"/>
        <v>-4599</v>
      </c>
      <c r="G91" s="2">
        <f t="shared" si="9"/>
        <v>2026</v>
      </c>
      <c r="H91" s="2">
        <f t="shared" si="10"/>
        <v>4</v>
      </c>
      <c r="I91" s="2">
        <f t="shared" si="7"/>
        <v>2</v>
      </c>
    </row>
    <row r="92" spans="1:9" x14ac:dyDescent="0.25">
      <c r="A92" s="13" t="s">
        <v>69</v>
      </c>
      <c r="B92" s="2" t="s">
        <v>14</v>
      </c>
      <c r="C92" s="21" t="s">
        <v>13</v>
      </c>
      <c r="D92" s="16"/>
      <c r="E92" s="17">
        <v>453.6</v>
      </c>
      <c r="F92" s="3">
        <f t="shared" si="8"/>
        <v>-453.6</v>
      </c>
      <c r="G92" s="2">
        <f t="shared" si="9"/>
        <v>2026</v>
      </c>
      <c r="H92" s="2">
        <f t="shared" si="10"/>
        <v>4</v>
      </c>
      <c r="I92" s="2">
        <f t="shared" si="7"/>
        <v>2</v>
      </c>
    </row>
    <row r="93" spans="1:9" x14ac:dyDescent="0.25">
      <c r="A93" s="13" t="s">
        <v>69</v>
      </c>
      <c r="B93" s="2" t="s">
        <v>14</v>
      </c>
      <c r="C93" s="21" t="s">
        <v>102</v>
      </c>
      <c r="D93" s="16"/>
      <c r="E93" s="15">
        <v>92167.679999999993</v>
      </c>
      <c r="F93" s="3">
        <f t="shared" si="8"/>
        <v>-92167.679999999993</v>
      </c>
      <c r="G93" s="2">
        <f t="shared" si="9"/>
        <v>2026</v>
      </c>
      <c r="H93" s="2">
        <f t="shared" si="10"/>
        <v>4</v>
      </c>
      <c r="I93" s="2">
        <f t="shared" si="7"/>
        <v>2</v>
      </c>
    </row>
    <row r="94" spans="1:9" x14ac:dyDescent="0.25">
      <c r="A94" s="13" t="s">
        <v>69</v>
      </c>
      <c r="B94" s="2" t="s">
        <v>14</v>
      </c>
      <c r="C94" s="18" t="s">
        <v>17</v>
      </c>
      <c r="D94" s="16"/>
      <c r="E94" s="17">
        <v>695.4</v>
      </c>
      <c r="F94" s="3">
        <f t="shared" si="8"/>
        <v>-695.4</v>
      </c>
      <c r="G94" s="2">
        <f t="shared" si="9"/>
        <v>2026</v>
      </c>
      <c r="H94" s="2">
        <f t="shared" si="10"/>
        <v>4</v>
      </c>
      <c r="I94" s="2">
        <f t="shared" si="7"/>
        <v>2</v>
      </c>
    </row>
    <row r="95" spans="1:9" x14ac:dyDescent="0.25">
      <c r="A95" s="13" t="s">
        <v>69</v>
      </c>
      <c r="B95" s="2" t="s">
        <v>14</v>
      </c>
      <c r="C95" s="18" t="s">
        <v>29</v>
      </c>
      <c r="D95" s="16"/>
      <c r="E95" s="15">
        <v>7000</v>
      </c>
      <c r="F95" s="3">
        <f t="shared" si="8"/>
        <v>-7000</v>
      </c>
      <c r="G95" s="2">
        <f t="shared" si="9"/>
        <v>2026</v>
      </c>
      <c r="H95" s="2">
        <f t="shared" si="10"/>
        <v>4</v>
      </c>
      <c r="I95" s="2">
        <f t="shared" si="7"/>
        <v>2</v>
      </c>
    </row>
    <row r="96" spans="1:9" x14ac:dyDescent="0.25">
      <c r="A96" s="13" t="s">
        <v>69</v>
      </c>
      <c r="B96" s="2" t="s">
        <v>14</v>
      </c>
      <c r="C96" s="21" t="s">
        <v>13</v>
      </c>
      <c r="D96" s="16"/>
      <c r="E96" s="15">
        <v>1350</v>
      </c>
      <c r="F96" s="3">
        <f t="shared" si="8"/>
        <v>-1350</v>
      </c>
      <c r="G96" s="2">
        <f t="shared" si="9"/>
        <v>2026</v>
      </c>
      <c r="H96" s="2">
        <f t="shared" si="10"/>
        <v>4</v>
      </c>
      <c r="I96" s="2">
        <f t="shared" si="7"/>
        <v>2</v>
      </c>
    </row>
    <row r="97" spans="1:9" x14ac:dyDescent="0.25">
      <c r="A97" s="13" t="s">
        <v>69</v>
      </c>
      <c r="B97" s="2" t="s">
        <v>14</v>
      </c>
      <c r="C97" s="21" t="s">
        <v>13</v>
      </c>
      <c r="D97" s="16"/>
      <c r="E97" s="15">
        <v>24402</v>
      </c>
      <c r="F97" s="3">
        <f t="shared" si="8"/>
        <v>-24402</v>
      </c>
      <c r="G97" s="2">
        <f t="shared" si="9"/>
        <v>2026</v>
      </c>
      <c r="H97" s="2">
        <f t="shared" si="10"/>
        <v>4</v>
      </c>
      <c r="I97" s="2">
        <f t="shared" si="7"/>
        <v>2</v>
      </c>
    </row>
    <row r="98" spans="1:9" x14ac:dyDescent="0.25">
      <c r="A98" s="13" t="s">
        <v>69</v>
      </c>
      <c r="B98" s="2" t="s">
        <v>14</v>
      </c>
      <c r="C98" s="21" t="s">
        <v>13</v>
      </c>
      <c r="D98" s="16"/>
      <c r="E98" s="17">
        <v>940</v>
      </c>
      <c r="F98" s="3">
        <f t="shared" si="8"/>
        <v>-940</v>
      </c>
      <c r="G98" s="2">
        <f t="shared" si="9"/>
        <v>2026</v>
      </c>
      <c r="H98" s="2">
        <f t="shared" si="10"/>
        <v>4</v>
      </c>
      <c r="I98" s="2">
        <f t="shared" si="7"/>
        <v>2</v>
      </c>
    </row>
    <row r="99" spans="1:9" x14ac:dyDescent="0.25">
      <c r="A99" s="13" t="s">
        <v>70</v>
      </c>
      <c r="B99" s="2" t="s">
        <v>10</v>
      </c>
      <c r="C99" s="23" t="s">
        <v>11</v>
      </c>
      <c r="D99" s="15">
        <v>16750</v>
      </c>
      <c r="E99" s="16"/>
      <c r="F99" s="3">
        <f t="shared" si="8"/>
        <v>16750</v>
      </c>
      <c r="G99" s="2">
        <f t="shared" si="9"/>
        <v>2026</v>
      </c>
      <c r="H99" s="2">
        <f t="shared" si="10"/>
        <v>4</v>
      </c>
      <c r="I99" s="2">
        <f t="shared" si="7"/>
        <v>2</v>
      </c>
    </row>
    <row r="100" spans="1:9" x14ac:dyDescent="0.25">
      <c r="A100" s="13" t="s">
        <v>70</v>
      </c>
      <c r="B100" s="2" t="s">
        <v>10</v>
      </c>
      <c r="C100" s="23" t="s">
        <v>11</v>
      </c>
      <c r="D100" s="15">
        <v>41450</v>
      </c>
      <c r="E100" s="16"/>
      <c r="F100" s="3">
        <f t="shared" si="8"/>
        <v>41450</v>
      </c>
      <c r="G100" s="2">
        <f t="shared" si="9"/>
        <v>2026</v>
      </c>
      <c r="H100" s="2">
        <f t="shared" si="10"/>
        <v>4</v>
      </c>
      <c r="I100" s="2">
        <f t="shared" si="7"/>
        <v>2</v>
      </c>
    </row>
    <row r="101" spans="1:9" x14ac:dyDescent="0.25">
      <c r="A101" s="13" t="s">
        <v>70</v>
      </c>
      <c r="B101" s="2" t="s">
        <v>10</v>
      </c>
      <c r="C101" s="23" t="s">
        <v>11</v>
      </c>
      <c r="D101" s="15">
        <v>10745</v>
      </c>
      <c r="E101" s="16"/>
      <c r="F101" s="3">
        <f t="shared" si="8"/>
        <v>10745</v>
      </c>
      <c r="G101" s="2">
        <f t="shared" si="9"/>
        <v>2026</v>
      </c>
      <c r="H101" s="2">
        <f t="shared" si="10"/>
        <v>4</v>
      </c>
      <c r="I101" s="2">
        <f t="shared" si="7"/>
        <v>2</v>
      </c>
    </row>
    <row r="102" spans="1:9" x14ac:dyDescent="0.25">
      <c r="A102" s="13" t="s">
        <v>70</v>
      </c>
      <c r="B102" s="2" t="s">
        <v>10</v>
      </c>
      <c r="C102" s="23" t="s">
        <v>11</v>
      </c>
      <c r="D102" s="15">
        <v>40805</v>
      </c>
      <c r="E102" s="16"/>
      <c r="F102" s="3">
        <f t="shared" si="8"/>
        <v>40805</v>
      </c>
      <c r="G102" s="2">
        <f t="shared" si="9"/>
        <v>2026</v>
      </c>
      <c r="H102" s="2">
        <f t="shared" si="10"/>
        <v>4</v>
      </c>
      <c r="I102" s="2">
        <f t="shared" si="7"/>
        <v>2</v>
      </c>
    </row>
    <row r="103" spans="1:9" x14ac:dyDescent="0.25">
      <c r="A103" s="13" t="s">
        <v>70</v>
      </c>
      <c r="B103" s="2" t="s">
        <v>10</v>
      </c>
      <c r="C103" s="23" t="s">
        <v>11</v>
      </c>
      <c r="D103" s="15">
        <v>12000</v>
      </c>
      <c r="E103" s="16"/>
      <c r="F103" s="3">
        <f t="shared" si="8"/>
        <v>12000</v>
      </c>
      <c r="G103" s="2">
        <f t="shared" si="9"/>
        <v>2026</v>
      </c>
      <c r="H103" s="2">
        <f t="shared" si="10"/>
        <v>4</v>
      </c>
      <c r="I103" s="2">
        <f t="shared" si="7"/>
        <v>2</v>
      </c>
    </row>
    <row r="104" spans="1:9" x14ac:dyDescent="0.25">
      <c r="A104" s="13" t="s">
        <v>70</v>
      </c>
      <c r="B104" s="2" t="s">
        <v>10</v>
      </c>
      <c r="C104" s="21" t="s">
        <v>13</v>
      </c>
      <c r="D104" s="15">
        <v>2512.5</v>
      </c>
      <c r="E104" s="16"/>
      <c r="F104" s="3">
        <f t="shared" si="8"/>
        <v>2512.5</v>
      </c>
      <c r="G104" s="2">
        <f t="shared" si="9"/>
        <v>2026</v>
      </c>
      <c r="H104" s="2">
        <f t="shared" si="10"/>
        <v>4</v>
      </c>
      <c r="I104" s="2">
        <f t="shared" si="7"/>
        <v>2</v>
      </c>
    </row>
    <row r="105" spans="1:9" x14ac:dyDescent="0.25">
      <c r="A105" s="13" t="s">
        <v>70</v>
      </c>
      <c r="B105" s="2" t="s">
        <v>10</v>
      </c>
      <c r="C105" s="21" t="s">
        <v>13</v>
      </c>
      <c r="D105" s="15">
        <v>6217.5</v>
      </c>
      <c r="E105" s="16"/>
      <c r="F105" s="3">
        <f t="shared" si="8"/>
        <v>6217.5</v>
      </c>
      <c r="G105" s="2">
        <f t="shared" si="9"/>
        <v>2026</v>
      </c>
      <c r="H105" s="2">
        <f t="shared" si="10"/>
        <v>4</v>
      </c>
      <c r="I105" s="2">
        <f t="shared" si="7"/>
        <v>2</v>
      </c>
    </row>
    <row r="106" spans="1:9" x14ac:dyDescent="0.25">
      <c r="A106" s="13" t="s">
        <v>70</v>
      </c>
      <c r="B106" s="2" t="s">
        <v>10</v>
      </c>
      <c r="C106" s="21" t="s">
        <v>13</v>
      </c>
      <c r="D106" s="15">
        <v>1611.75</v>
      </c>
      <c r="E106" s="16"/>
      <c r="F106" s="3">
        <f t="shared" si="8"/>
        <v>1611.75</v>
      </c>
      <c r="G106" s="2">
        <f t="shared" si="9"/>
        <v>2026</v>
      </c>
      <c r="H106" s="2">
        <f t="shared" si="10"/>
        <v>4</v>
      </c>
      <c r="I106" s="2">
        <f t="shared" si="7"/>
        <v>2</v>
      </c>
    </row>
    <row r="107" spans="1:9" x14ac:dyDescent="0.25">
      <c r="A107" s="13" t="s">
        <v>70</v>
      </c>
      <c r="B107" s="2" t="s">
        <v>10</v>
      </c>
      <c r="C107" s="21" t="s">
        <v>13</v>
      </c>
      <c r="D107" s="15">
        <v>6120.75</v>
      </c>
      <c r="E107" s="16"/>
      <c r="F107" s="3">
        <f t="shared" si="8"/>
        <v>6120.75</v>
      </c>
      <c r="G107" s="2">
        <f t="shared" si="9"/>
        <v>2026</v>
      </c>
      <c r="H107" s="2">
        <f t="shared" si="10"/>
        <v>4</v>
      </c>
      <c r="I107" s="2">
        <f t="shared" si="7"/>
        <v>2</v>
      </c>
    </row>
    <row r="108" spans="1:9" x14ac:dyDescent="0.25">
      <c r="A108" s="13" t="s">
        <v>70</v>
      </c>
      <c r="B108" s="2" t="s">
        <v>10</v>
      </c>
      <c r="C108" s="21" t="s">
        <v>13</v>
      </c>
      <c r="D108" s="15">
        <v>1800</v>
      </c>
      <c r="E108" s="16"/>
      <c r="F108" s="3">
        <f t="shared" si="8"/>
        <v>1800</v>
      </c>
      <c r="G108" s="2">
        <f t="shared" si="9"/>
        <v>2026</v>
      </c>
      <c r="H108" s="2">
        <f t="shared" si="10"/>
        <v>4</v>
      </c>
      <c r="I108" s="2">
        <f t="shared" si="7"/>
        <v>2</v>
      </c>
    </row>
    <row r="109" spans="1:9" x14ac:dyDescent="0.25">
      <c r="A109" s="13" t="s">
        <v>70</v>
      </c>
      <c r="B109" s="2" t="s">
        <v>10</v>
      </c>
      <c r="C109" s="18" t="s">
        <v>12</v>
      </c>
      <c r="D109" s="15">
        <v>4347.3</v>
      </c>
      <c r="E109" s="16"/>
      <c r="F109" s="3">
        <f t="shared" si="8"/>
        <v>4347.3</v>
      </c>
      <c r="G109" s="2">
        <f t="shared" si="9"/>
        <v>2026</v>
      </c>
      <c r="H109" s="2">
        <f t="shared" si="10"/>
        <v>4</v>
      </c>
      <c r="I109" s="2">
        <f t="shared" si="7"/>
        <v>2</v>
      </c>
    </row>
    <row r="110" spans="1:9" x14ac:dyDescent="0.25">
      <c r="A110" s="13" t="s">
        <v>70</v>
      </c>
      <c r="B110" s="2" t="s">
        <v>14</v>
      </c>
      <c r="C110" s="21" t="s">
        <v>13</v>
      </c>
      <c r="D110" s="16"/>
      <c r="E110" s="15">
        <v>2512.5</v>
      </c>
      <c r="F110" s="3">
        <f t="shared" si="8"/>
        <v>-2512.5</v>
      </c>
      <c r="G110" s="2">
        <f t="shared" si="9"/>
        <v>2026</v>
      </c>
      <c r="H110" s="2">
        <f t="shared" si="10"/>
        <v>4</v>
      </c>
      <c r="I110" s="2">
        <f t="shared" si="7"/>
        <v>2</v>
      </c>
    </row>
    <row r="111" spans="1:9" x14ac:dyDescent="0.25">
      <c r="A111" s="13" t="s">
        <v>70</v>
      </c>
      <c r="B111" s="2" t="s">
        <v>14</v>
      </c>
      <c r="C111" s="18" t="s">
        <v>25</v>
      </c>
      <c r="D111" s="16"/>
      <c r="E111" s="15">
        <v>62100</v>
      </c>
      <c r="F111" s="3">
        <f t="shared" si="8"/>
        <v>-62100</v>
      </c>
      <c r="G111" s="2">
        <f t="shared" si="9"/>
        <v>2026</v>
      </c>
      <c r="H111" s="2">
        <f t="shared" si="10"/>
        <v>4</v>
      </c>
      <c r="I111" s="2">
        <f t="shared" si="7"/>
        <v>2</v>
      </c>
    </row>
    <row r="112" spans="1:9" x14ac:dyDescent="0.25">
      <c r="A112" s="13" t="s">
        <v>70</v>
      </c>
      <c r="B112" s="2" t="s">
        <v>14</v>
      </c>
      <c r="C112" s="18" t="s">
        <v>25</v>
      </c>
      <c r="D112" s="16"/>
      <c r="E112" s="15">
        <v>13454</v>
      </c>
      <c r="F112" s="3">
        <f t="shared" si="8"/>
        <v>-13454</v>
      </c>
      <c r="G112" s="2">
        <f t="shared" si="9"/>
        <v>2026</v>
      </c>
      <c r="H112" s="2">
        <f t="shared" si="10"/>
        <v>4</v>
      </c>
      <c r="I112" s="2">
        <f t="shared" si="7"/>
        <v>2</v>
      </c>
    </row>
    <row r="113" spans="1:9" x14ac:dyDescent="0.25">
      <c r="A113" s="13" t="s">
        <v>70</v>
      </c>
      <c r="B113" s="2" t="s">
        <v>14</v>
      </c>
      <c r="C113" s="18" t="s">
        <v>25</v>
      </c>
      <c r="D113" s="16"/>
      <c r="E113" s="17">
        <v>414</v>
      </c>
      <c r="F113" s="3">
        <f t="shared" si="8"/>
        <v>-414</v>
      </c>
      <c r="G113" s="2">
        <f t="shared" si="9"/>
        <v>2026</v>
      </c>
      <c r="H113" s="2">
        <f t="shared" si="10"/>
        <v>4</v>
      </c>
      <c r="I113" s="2">
        <f t="shared" si="7"/>
        <v>2</v>
      </c>
    </row>
    <row r="114" spans="1:9" x14ac:dyDescent="0.25">
      <c r="A114" s="13" t="s">
        <v>70</v>
      </c>
      <c r="B114" s="2" t="s">
        <v>14</v>
      </c>
      <c r="C114" s="21" t="s">
        <v>13</v>
      </c>
      <c r="D114" s="16"/>
      <c r="E114" s="15">
        <v>6217.5</v>
      </c>
      <c r="F114" s="3">
        <f t="shared" si="8"/>
        <v>-6217.5</v>
      </c>
      <c r="G114" s="2">
        <f t="shared" si="9"/>
        <v>2026</v>
      </c>
      <c r="H114" s="2">
        <f t="shared" si="10"/>
        <v>4</v>
      </c>
      <c r="I114" s="2">
        <f t="shared" si="7"/>
        <v>2</v>
      </c>
    </row>
    <row r="115" spans="1:9" x14ac:dyDescent="0.25">
      <c r="A115" s="13" t="s">
        <v>70</v>
      </c>
      <c r="B115" s="2" t="s">
        <v>14</v>
      </c>
      <c r="C115" s="18" t="s">
        <v>16</v>
      </c>
      <c r="D115" s="16"/>
      <c r="E115" s="15">
        <v>2526.46</v>
      </c>
      <c r="F115" s="3">
        <f t="shared" si="8"/>
        <v>-2526.46</v>
      </c>
      <c r="G115" s="2">
        <f t="shared" si="9"/>
        <v>2026</v>
      </c>
      <c r="H115" s="2">
        <f t="shared" si="10"/>
        <v>4</v>
      </c>
      <c r="I115" s="2">
        <f t="shared" si="7"/>
        <v>2</v>
      </c>
    </row>
    <row r="116" spans="1:9" x14ac:dyDescent="0.25">
      <c r="A116" s="13" t="s">
        <v>70</v>
      </c>
      <c r="B116" s="2" t="s">
        <v>14</v>
      </c>
      <c r="C116" s="18" t="s">
        <v>16</v>
      </c>
      <c r="D116" s="16"/>
      <c r="E116" s="15">
        <v>2104.52</v>
      </c>
      <c r="F116" s="3">
        <f t="shared" si="8"/>
        <v>-2104.52</v>
      </c>
      <c r="G116" s="2">
        <f t="shared" si="9"/>
        <v>2026</v>
      </c>
      <c r="H116" s="2">
        <f t="shared" si="10"/>
        <v>4</v>
      </c>
      <c r="I116" s="2">
        <f t="shared" si="7"/>
        <v>2</v>
      </c>
    </row>
    <row r="117" spans="1:9" x14ac:dyDescent="0.25">
      <c r="A117" s="13" t="s">
        <v>70</v>
      </c>
      <c r="B117" s="2" t="s">
        <v>14</v>
      </c>
      <c r="C117" s="18" t="s">
        <v>20</v>
      </c>
      <c r="D117" s="16"/>
      <c r="E117" s="15">
        <v>277171.48</v>
      </c>
      <c r="F117" s="3">
        <f t="shared" si="8"/>
        <v>-277171.48</v>
      </c>
      <c r="G117" s="2">
        <f t="shared" si="9"/>
        <v>2026</v>
      </c>
      <c r="H117" s="2">
        <f t="shared" si="10"/>
        <v>4</v>
      </c>
      <c r="I117" s="2">
        <f t="shared" si="7"/>
        <v>2</v>
      </c>
    </row>
    <row r="118" spans="1:9" x14ac:dyDescent="0.25">
      <c r="A118" s="13" t="s">
        <v>70</v>
      </c>
      <c r="B118" s="2" t="s">
        <v>14</v>
      </c>
      <c r="C118" s="21" t="s">
        <v>13</v>
      </c>
      <c r="D118" s="16"/>
      <c r="E118" s="15">
        <v>1611.75</v>
      </c>
      <c r="F118" s="3">
        <f t="shared" si="8"/>
        <v>-1611.75</v>
      </c>
      <c r="G118" s="2">
        <f t="shared" si="9"/>
        <v>2026</v>
      </c>
      <c r="H118" s="2">
        <f t="shared" si="10"/>
        <v>4</v>
      </c>
      <c r="I118" s="2">
        <f t="shared" si="7"/>
        <v>2</v>
      </c>
    </row>
    <row r="119" spans="1:9" x14ac:dyDescent="0.25">
      <c r="A119" s="13" t="s">
        <v>70</v>
      </c>
      <c r="B119" s="2" t="s">
        <v>14</v>
      </c>
      <c r="C119" s="21" t="s">
        <v>13</v>
      </c>
      <c r="D119" s="16"/>
      <c r="E119" s="15">
        <v>6120.75</v>
      </c>
      <c r="F119" s="3">
        <f t="shared" si="8"/>
        <v>-6120.75</v>
      </c>
      <c r="G119" s="2">
        <f t="shared" si="9"/>
        <v>2026</v>
      </c>
      <c r="H119" s="2">
        <f t="shared" si="10"/>
        <v>4</v>
      </c>
      <c r="I119" s="2">
        <f t="shared" si="7"/>
        <v>2</v>
      </c>
    </row>
    <row r="120" spans="1:9" x14ac:dyDescent="0.25">
      <c r="A120" s="13" t="s">
        <v>70</v>
      </c>
      <c r="B120" s="2" t="s">
        <v>14</v>
      </c>
      <c r="C120" s="21" t="s">
        <v>13</v>
      </c>
      <c r="D120" s="16"/>
      <c r="E120" s="15">
        <v>1800</v>
      </c>
      <c r="F120" s="3">
        <f t="shared" si="8"/>
        <v>-1800</v>
      </c>
      <c r="G120" s="2">
        <f t="shared" si="9"/>
        <v>2026</v>
      </c>
      <c r="H120" s="2">
        <f t="shared" si="10"/>
        <v>4</v>
      </c>
      <c r="I120" s="2">
        <f t="shared" si="7"/>
        <v>2</v>
      </c>
    </row>
    <row r="121" spans="1:9" x14ac:dyDescent="0.25">
      <c r="A121" s="13" t="s">
        <v>70</v>
      </c>
      <c r="B121" s="2" t="s">
        <v>14</v>
      </c>
      <c r="C121" s="18" t="s">
        <v>18</v>
      </c>
      <c r="D121" s="16"/>
      <c r="E121" s="15">
        <v>11055.72</v>
      </c>
      <c r="F121" s="3">
        <f t="shared" si="8"/>
        <v>-11055.72</v>
      </c>
      <c r="G121" s="2">
        <f t="shared" si="9"/>
        <v>2026</v>
      </c>
      <c r="H121" s="2">
        <f t="shared" si="10"/>
        <v>4</v>
      </c>
      <c r="I121" s="2">
        <f t="shared" si="7"/>
        <v>2</v>
      </c>
    </row>
    <row r="122" spans="1:9" x14ac:dyDescent="0.25">
      <c r="A122" s="13" t="s">
        <v>70</v>
      </c>
      <c r="B122" s="2" t="s">
        <v>14</v>
      </c>
      <c r="C122" s="18" t="s">
        <v>30</v>
      </c>
      <c r="D122" s="16"/>
      <c r="E122" s="15">
        <v>90046</v>
      </c>
      <c r="F122" s="3">
        <f t="shared" si="8"/>
        <v>-90046</v>
      </c>
      <c r="G122" s="2">
        <f t="shared" si="9"/>
        <v>2026</v>
      </c>
      <c r="H122" s="2">
        <f t="shared" si="10"/>
        <v>4</v>
      </c>
      <c r="I122" s="2">
        <f t="shared" si="7"/>
        <v>2</v>
      </c>
    </row>
    <row r="123" spans="1:9" x14ac:dyDescent="0.25">
      <c r="A123" s="13" t="s">
        <v>71</v>
      </c>
      <c r="B123" s="2" t="s">
        <v>10</v>
      </c>
      <c r="C123" s="23" t="s">
        <v>11</v>
      </c>
      <c r="D123" s="15">
        <v>16230</v>
      </c>
      <c r="E123" s="16"/>
      <c r="F123" s="3">
        <f t="shared" si="8"/>
        <v>16230</v>
      </c>
      <c r="G123" s="2">
        <f t="shared" si="9"/>
        <v>2026</v>
      </c>
      <c r="H123" s="2">
        <f t="shared" si="10"/>
        <v>4</v>
      </c>
      <c r="I123" s="2">
        <f t="shared" si="7"/>
        <v>2</v>
      </c>
    </row>
    <row r="124" spans="1:9" x14ac:dyDescent="0.25">
      <c r="A124" s="13" t="s">
        <v>71</v>
      </c>
      <c r="B124" s="2" t="s">
        <v>10</v>
      </c>
      <c r="C124" s="23" t="s">
        <v>11</v>
      </c>
      <c r="D124" s="15">
        <v>28285</v>
      </c>
      <c r="E124" s="16"/>
      <c r="F124" s="3">
        <f t="shared" si="8"/>
        <v>28285</v>
      </c>
      <c r="G124" s="2">
        <f t="shared" si="9"/>
        <v>2026</v>
      </c>
      <c r="H124" s="2">
        <f t="shared" si="10"/>
        <v>4</v>
      </c>
      <c r="I124" s="2">
        <f t="shared" si="7"/>
        <v>2</v>
      </c>
    </row>
    <row r="125" spans="1:9" x14ac:dyDescent="0.25">
      <c r="A125" s="13" t="s">
        <v>71</v>
      </c>
      <c r="B125" s="2" t="s">
        <v>10</v>
      </c>
      <c r="C125" s="23" t="s">
        <v>11</v>
      </c>
      <c r="D125" s="15">
        <v>34425</v>
      </c>
      <c r="E125" s="16"/>
      <c r="F125" s="3">
        <f t="shared" si="8"/>
        <v>34425</v>
      </c>
      <c r="G125" s="2">
        <f t="shared" si="9"/>
        <v>2026</v>
      </c>
      <c r="H125" s="2">
        <f t="shared" si="10"/>
        <v>4</v>
      </c>
      <c r="I125" s="2">
        <f t="shared" si="7"/>
        <v>2</v>
      </c>
    </row>
    <row r="126" spans="1:9" x14ac:dyDescent="0.25">
      <c r="A126" s="13" t="s">
        <v>71</v>
      </c>
      <c r="B126" s="2" t="s">
        <v>10</v>
      </c>
      <c r="C126" s="23" t="s">
        <v>11</v>
      </c>
      <c r="D126" s="15">
        <v>23955</v>
      </c>
      <c r="E126" s="16"/>
      <c r="F126" s="3">
        <f t="shared" si="8"/>
        <v>23955</v>
      </c>
      <c r="G126" s="2">
        <f t="shared" si="9"/>
        <v>2026</v>
      </c>
      <c r="H126" s="2">
        <f t="shared" si="10"/>
        <v>4</v>
      </c>
      <c r="I126" s="2">
        <f t="shared" si="7"/>
        <v>2</v>
      </c>
    </row>
    <row r="127" spans="1:9" x14ac:dyDescent="0.25">
      <c r="A127" s="13" t="s">
        <v>71</v>
      </c>
      <c r="B127" s="2" t="s">
        <v>10</v>
      </c>
      <c r="C127" s="23" t="s">
        <v>11</v>
      </c>
      <c r="D127" s="15">
        <v>17096.099999999999</v>
      </c>
      <c r="E127" s="16"/>
      <c r="F127" s="3">
        <f t="shared" si="8"/>
        <v>17096.099999999999</v>
      </c>
      <c r="G127" s="2">
        <f t="shared" si="9"/>
        <v>2026</v>
      </c>
      <c r="H127" s="2">
        <f t="shared" si="10"/>
        <v>4</v>
      </c>
      <c r="I127" s="2">
        <f t="shared" si="7"/>
        <v>2</v>
      </c>
    </row>
    <row r="128" spans="1:9" x14ac:dyDescent="0.25">
      <c r="A128" s="13" t="s">
        <v>71</v>
      </c>
      <c r="B128" s="2" t="s">
        <v>10</v>
      </c>
      <c r="C128" s="21" t="s">
        <v>13</v>
      </c>
      <c r="D128" s="15">
        <v>2434.5</v>
      </c>
      <c r="E128" s="16"/>
      <c r="F128" s="3">
        <f t="shared" si="8"/>
        <v>2434.5</v>
      </c>
      <c r="G128" s="2">
        <f t="shared" si="9"/>
        <v>2026</v>
      </c>
      <c r="H128" s="2">
        <f t="shared" si="10"/>
        <v>4</v>
      </c>
      <c r="I128" s="2">
        <f t="shared" si="7"/>
        <v>2</v>
      </c>
    </row>
    <row r="129" spans="1:9" x14ac:dyDescent="0.25">
      <c r="A129" s="13" t="s">
        <v>71</v>
      </c>
      <c r="B129" s="2" t="s">
        <v>10</v>
      </c>
      <c r="C129" s="21" t="s">
        <v>13</v>
      </c>
      <c r="D129" s="15">
        <v>4242.75</v>
      </c>
      <c r="E129" s="16"/>
      <c r="F129" s="3">
        <f t="shared" si="8"/>
        <v>4242.75</v>
      </c>
      <c r="G129" s="2">
        <f t="shared" si="9"/>
        <v>2026</v>
      </c>
      <c r="H129" s="2">
        <f t="shared" si="10"/>
        <v>4</v>
      </c>
      <c r="I129" s="2">
        <f t="shared" si="7"/>
        <v>2</v>
      </c>
    </row>
    <row r="130" spans="1:9" x14ac:dyDescent="0.25">
      <c r="A130" s="13" t="s">
        <v>71</v>
      </c>
      <c r="B130" s="2" t="s">
        <v>10</v>
      </c>
      <c r="C130" s="21" t="s">
        <v>13</v>
      </c>
      <c r="D130" s="15">
        <v>5163.75</v>
      </c>
      <c r="E130" s="16"/>
      <c r="F130" s="3">
        <f t="shared" si="8"/>
        <v>5163.75</v>
      </c>
      <c r="G130" s="2">
        <f t="shared" si="9"/>
        <v>2026</v>
      </c>
      <c r="H130" s="2">
        <f t="shared" si="10"/>
        <v>4</v>
      </c>
      <c r="I130" s="2">
        <f t="shared" si="7"/>
        <v>2</v>
      </c>
    </row>
    <row r="131" spans="1:9" x14ac:dyDescent="0.25">
      <c r="A131" s="13" t="s">
        <v>71</v>
      </c>
      <c r="B131" s="2" t="s">
        <v>10</v>
      </c>
      <c r="C131" s="21" t="s">
        <v>13</v>
      </c>
      <c r="D131" s="15">
        <v>3593.25</v>
      </c>
      <c r="E131" s="16"/>
      <c r="F131" s="3">
        <f t="shared" si="8"/>
        <v>3593.25</v>
      </c>
      <c r="G131" s="2">
        <f t="shared" si="9"/>
        <v>2026</v>
      </c>
      <c r="H131" s="2">
        <f t="shared" si="10"/>
        <v>4</v>
      </c>
      <c r="I131" s="2">
        <f t="shared" si="7"/>
        <v>2</v>
      </c>
    </row>
    <row r="132" spans="1:9" x14ac:dyDescent="0.25">
      <c r="A132" s="13" t="s">
        <v>71</v>
      </c>
      <c r="B132" s="2" t="s">
        <v>10</v>
      </c>
      <c r="C132" s="21" t="s">
        <v>13</v>
      </c>
      <c r="D132" s="15">
        <v>2564.41</v>
      </c>
      <c r="E132" s="16"/>
      <c r="F132" s="3">
        <f t="shared" si="8"/>
        <v>2564.41</v>
      </c>
      <c r="G132" s="2">
        <f t="shared" si="9"/>
        <v>2026</v>
      </c>
      <c r="H132" s="2">
        <f t="shared" si="10"/>
        <v>4</v>
      </c>
      <c r="I132" s="2">
        <f t="shared" ref="I132:I195" si="11">ROUNDUP(H132/3,0)</f>
        <v>2</v>
      </c>
    </row>
    <row r="133" spans="1:9" x14ac:dyDescent="0.25">
      <c r="A133" s="13" t="s">
        <v>71</v>
      </c>
      <c r="B133" s="2" t="s">
        <v>10</v>
      </c>
      <c r="C133" s="18" t="s">
        <v>12</v>
      </c>
      <c r="D133" s="15">
        <v>2363.29</v>
      </c>
      <c r="E133" s="16"/>
      <c r="F133" s="3">
        <f t="shared" ref="F133:F196" si="12">D133-E133</f>
        <v>2363.29</v>
      </c>
      <c r="G133" s="2">
        <f t="shared" ref="G133:G196" si="13">YEAR(A133)</f>
        <v>2026</v>
      </c>
      <c r="H133" s="2">
        <f t="shared" ref="H133:H196" si="14">MONTH(A133)</f>
        <v>4</v>
      </c>
      <c r="I133" s="2">
        <f t="shared" si="11"/>
        <v>2</v>
      </c>
    </row>
    <row r="134" spans="1:9" x14ac:dyDescent="0.25">
      <c r="A134" s="13" t="s">
        <v>71</v>
      </c>
      <c r="B134" s="2" t="s">
        <v>14</v>
      </c>
      <c r="C134" s="21" t="s">
        <v>13</v>
      </c>
      <c r="D134" s="16"/>
      <c r="E134" s="15">
        <v>2434.5</v>
      </c>
      <c r="F134" s="3">
        <f t="shared" si="12"/>
        <v>-2434.5</v>
      </c>
      <c r="G134" s="2">
        <f t="shared" si="13"/>
        <v>2026</v>
      </c>
      <c r="H134" s="2">
        <f t="shared" si="14"/>
        <v>4</v>
      </c>
      <c r="I134" s="2">
        <f t="shared" si="11"/>
        <v>2</v>
      </c>
    </row>
    <row r="135" spans="1:9" x14ac:dyDescent="0.25">
      <c r="A135" s="13" t="s">
        <v>71</v>
      </c>
      <c r="B135" s="2" t="s">
        <v>14</v>
      </c>
      <c r="C135" s="21" t="s">
        <v>13</v>
      </c>
      <c r="D135" s="16"/>
      <c r="E135" s="15">
        <v>4242.75</v>
      </c>
      <c r="F135" s="3">
        <f t="shared" si="12"/>
        <v>-4242.75</v>
      </c>
      <c r="G135" s="2">
        <f t="shared" si="13"/>
        <v>2026</v>
      </c>
      <c r="H135" s="2">
        <f t="shared" si="14"/>
        <v>4</v>
      </c>
      <c r="I135" s="2">
        <f t="shared" si="11"/>
        <v>2</v>
      </c>
    </row>
    <row r="136" spans="1:9" x14ac:dyDescent="0.25">
      <c r="A136" s="13" t="s">
        <v>71</v>
      </c>
      <c r="B136" s="2" t="s">
        <v>14</v>
      </c>
      <c r="C136" s="18" t="s">
        <v>103</v>
      </c>
      <c r="D136" s="16"/>
      <c r="E136" s="15">
        <v>16191</v>
      </c>
      <c r="F136" s="3">
        <f t="shared" si="12"/>
        <v>-16191</v>
      </c>
      <c r="G136" s="2">
        <f t="shared" si="13"/>
        <v>2026</v>
      </c>
      <c r="H136" s="2">
        <f t="shared" si="14"/>
        <v>4</v>
      </c>
      <c r="I136" s="2">
        <f t="shared" si="11"/>
        <v>2</v>
      </c>
    </row>
    <row r="137" spans="1:9" x14ac:dyDescent="0.25">
      <c r="A137" s="13" t="s">
        <v>71</v>
      </c>
      <c r="B137" s="2" t="s">
        <v>14</v>
      </c>
      <c r="C137" s="26" t="s">
        <v>101</v>
      </c>
      <c r="D137" s="16"/>
      <c r="E137" s="15">
        <v>28902.5</v>
      </c>
      <c r="F137" s="3">
        <f t="shared" si="12"/>
        <v>-28902.5</v>
      </c>
      <c r="G137" s="2">
        <f t="shared" si="13"/>
        <v>2026</v>
      </c>
      <c r="H137" s="2">
        <f t="shared" si="14"/>
        <v>4</v>
      </c>
      <c r="I137" s="2">
        <f t="shared" si="11"/>
        <v>2</v>
      </c>
    </row>
    <row r="138" spans="1:9" x14ac:dyDescent="0.25">
      <c r="A138" s="13" t="s">
        <v>71</v>
      </c>
      <c r="B138" s="2" t="s">
        <v>14</v>
      </c>
      <c r="C138" s="21" t="s">
        <v>13</v>
      </c>
      <c r="D138" s="16"/>
      <c r="E138" s="15">
        <v>5163.75</v>
      </c>
      <c r="F138" s="3">
        <f t="shared" si="12"/>
        <v>-5163.75</v>
      </c>
      <c r="G138" s="2">
        <f t="shared" si="13"/>
        <v>2026</v>
      </c>
      <c r="H138" s="2">
        <f t="shared" si="14"/>
        <v>4</v>
      </c>
      <c r="I138" s="2">
        <f t="shared" si="11"/>
        <v>2</v>
      </c>
    </row>
    <row r="139" spans="1:9" x14ac:dyDescent="0.25">
      <c r="A139" s="13" t="s">
        <v>71</v>
      </c>
      <c r="B139" s="2" t="s">
        <v>14</v>
      </c>
      <c r="C139" s="21" t="s">
        <v>13</v>
      </c>
      <c r="D139" s="16"/>
      <c r="E139" s="15">
        <v>3593.25</v>
      </c>
      <c r="F139" s="3">
        <f t="shared" si="12"/>
        <v>-3593.25</v>
      </c>
      <c r="G139" s="2">
        <f t="shared" si="13"/>
        <v>2026</v>
      </c>
      <c r="H139" s="2">
        <f t="shared" si="14"/>
        <v>4</v>
      </c>
      <c r="I139" s="2">
        <f t="shared" si="11"/>
        <v>2</v>
      </c>
    </row>
    <row r="140" spans="1:9" x14ac:dyDescent="0.25">
      <c r="A140" s="13" t="s">
        <v>71</v>
      </c>
      <c r="B140" s="2" t="s">
        <v>14</v>
      </c>
      <c r="C140" s="21" t="s">
        <v>13</v>
      </c>
      <c r="D140" s="16"/>
      <c r="E140" s="15">
        <v>2564.41</v>
      </c>
      <c r="F140" s="3">
        <f t="shared" si="12"/>
        <v>-2564.41</v>
      </c>
      <c r="G140" s="2">
        <f t="shared" si="13"/>
        <v>2026</v>
      </c>
      <c r="H140" s="2">
        <f t="shared" si="14"/>
        <v>4</v>
      </c>
      <c r="I140" s="2">
        <f t="shared" si="11"/>
        <v>2</v>
      </c>
    </row>
    <row r="141" spans="1:9" x14ac:dyDescent="0.25">
      <c r="A141" s="13" t="s">
        <v>72</v>
      </c>
      <c r="B141" s="2" t="s">
        <v>10</v>
      </c>
      <c r="C141" s="23" t="s">
        <v>11</v>
      </c>
      <c r="D141" s="15">
        <v>27474.3</v>
      </c>
      <c r="E141" s="16"/>
      <c r="F141" s="3">
        <f t="shared" si="12"/>
        <v>27474.3</v>
      </c>
      <c r="G141" s="2">
        <f t="shared" si="13"/>
        <v>2026</v>
      </c>
      <c r="H141" s="2">
        <f t="shared" si="14"/>
        <v>4</v>
      </c>
      <c r="I141" s="2">
        <f t="shared" si="11"/>
        <v>2</v>
      </c>
    </row>
    <row r="142" spans="1:9" x14ac:dyDescent="0.25">
      <c r="A142" s="13" t="s">
        <v>72</v>
      </c>
      <c r="B142" s="2" t="s">
        <v>10</v>
      </c>
      <c r="C142" s="21" t="s">
        <v>13</v>
      </c>
      <c r="D142" s="15">
        <v>4121.1400000000003</v>
      </c>
      <c r="E142" s="16"/>
      <c r="F142" s="3">
        <f t="shared" si="12"/>
        <v>4121.1400000000003</v>
      </c>
      <c r="G142" s="2">
        <f t="shared" si="13"/>
        <v>2026</v>
      </c>
      <c r="H142" s="2">
        <f t="shared" si="14"/>
        <v>4</v>
      </c>
      <c r="I142" s="2">
        <f t="shared" si="11"/>
        <v>2</v>
      </c>
    </row>
    <row r="143" spans="1:9" x14ac:dyDescent="0.25">
      <c r="A143" s="13" t="s">
        <v>72</v>
      </c>
      <c r="B143" s="2" t="s">
        <v>14</v>
      </c>
      <c r="C143" s="21" t="s">
        <v>13</v>
      </c>
      <c r="D143" s="16"/>
      <c r="E143" s="15">
        <v>4121.1400000000003</v>
      </c>
      <c r="F143" s="3">
        <f t="shared" si="12"/>
        <v>-4121.1400000000003</v>
      </c>
      <c r="G143" s="2">
        <f t="shared" si="13"/>
        <v>2026</v>
      </c>
      <c r="H143" s="2">
        <f t="shared" si="14"/>
        <v>4</v>
      </c>
      <c r="I143" s="2">
        <f t="shared" si="11"/>
        <v>2</v>
      </c>
    </row>
    <row r="144" spans="1:9" x14ac:dyDescent="0.25">
      <c r="A144" s="13" t="s">
        <v>73</v>
      </c>
      <c r="B144" s="2" t="s">
        <v>10</v>
      </c>
      <c r="C144" s="18" t="s">
        <v>12</v>
      </c>
      <c r="D144" s="15">
        <v>5042.67</v>
      </c>
      <c r="E144" s="16"/>
      <c r="F144" s="3">
        <f t="shared" si="12"/>
        <v>5042.67</v>
      </c>
      <c r="G144" s="2">
        <f t="shared" si="13"/>
        <v>2026</v>
      </c>
      <c r="H144" s="2">
        <f t="shared" si="14"/>
        <v>4</v>
      </c>
      <c r="I144" s="2">
        <f t="shared" si="11"/>
        <v>2</v>
      </c>
    </row>
    <row r="145" spans="1:9" x14ac:dyDescent="0.25">
      <c r="A145" s="13" t="s">
        <v>73</v>
      </c>
      <c r="B145" s="2" t="s">
        <v>10</v>
      </c>
      <c r="C145" s="21" t="s">
        <v>13</v>
      </c>
      <c r="D145" s="15">
        <v>7142.1</v>
      </c>
      <c r="E145" s="16"/>
      <c r="F145" s="3">
        <f t="shared" si="12"/>
        <v>7142.1</v>
      </c>
      <c r="G145" s="2">
        <f t="shared" si="13"/>
        <v>2026</v>
      </c>
      <c r="H145" s="2">
        <f t="shared" si="14"/>
        <v>4</v>
      </c>
      <c r="I145" s="2">
        <f t="shared" si="11"/>
        <v>2</v>
      </c>
    </row>
    <row r="146" spans="1:9" x14ac:dyDescent="0.25">
      <c r="A146" s="13" t="s">
        <v>73</v>
      </c>
      <c r="B146" s="2" t="s">
        <v>10</v>
      </c>
      <c r="C146" s="21" t="s">
        <v>13</v>
      </c>
      <c r="D146" s="15">
        <v>8963.32</v>
      </c>
      <c r="E146" s="16"/>
      <c r="F146" s="3">
        <f t="shared" si="12"/>
        <v>8963.32</v>
      </c>
      <c r="G146" s="2">
        <f t="shared" si="13"/>
        <v>2026</v>
      </c>
      <c r="H146" s="2">
        <f t="shared" si="14"/>
        <v>4</v>
      </c>
      <c r="I146" s="2">
        <f t="shared" si="11"/>
        <v>2</v>
      </c>
    </row>
    <row r="147" spans="1:9" x14ac:dyDescent="0.25">
      <c r="A147" s="13" t="s">
        <v>73</v>
      </c>
      <c r="B147" s="2" t="s">
        <v>10</v>
      </c>
      <c r="C147" s="23" t="s">
        <v>11</v>
      </c>
      <c r="D147" s="15">
        <v>47614</v>
      </c>
      <c r="E147" s="16"/>
      <c r="F147" s="3">
        <f t="shared" si="12"/>
        <v>47614</v>
      </c>
      <c r="G147" s="2">
        <f t="shared" si="13"/>
        <v>2026</v>
      </c>
      <c r="H147" s="2">
        <f t="shared" si="14"/>
        <v>4</v>
      </c>
      <c r="I147" s="2">
        <f t="shared" si="11"/>
        <v>2</v>
      </c>
    </row>
    <row r="148" spans="1:9" x14ac:dyDescent="0.25">
      <c r="A148" s="13" t="s">
        <v>73</v>
      </c>
      <c r="B148" s="2" t="s">
        <v>10</v>
      </c>
      <c r="C148" s="23" t="s">
        <v>11</v>
      </c>
      <c r="D148" s="15">
        <v>59755.5</v>
      </c>
      <c r="E148" s="16"/>
      <c r="F148" s="3">
        <f t="shared" si="12"/>
        <v>59755.5</v>
      </c>
      <c r="G148" s="2">
        <f t="shared" si="13"/>
        <v>2026</v>
      </c>
      <c r="H148" s="2">
        <f t="shared" si="14"/>
        <v>4</v>
      </c>
      <c r="I148" s="2">
        <f t="shared" si="11"/>
        <v>2</v>
      </c>
    </row>
    <row r="149" spans="1:9" x14ac:dyDescent="0.25">
      <c r="A149" s="13" t="s">
        <v>73</v>
      </c>
      <c r="B149" s="2" t="s">
        <v>14</v>
      </c>
      <c r="C149" s="21" t="s">
        <v>13</v>
      </c>
      <c r="D149" s="16"/>
      <c r="E149" s="15">
        <v>7142.1</v>
      </c>
      <c r="F149" s="3">
        <f t="shared" si="12"/>
        <v>-7142.1</v>
      </c>
      <c r="G149" s="2">
        <f t="shared" si="13"/>
        <v>2026</v>
      </c>
      <c r="H149" s="2">
        <f t="shared" si="14"/>
        <v>4</v>
      </c>
      <c r="I149" s="2">
        <f t="shared" si="11"/>
        <v>2</v>
      </c>
    </row>
    <row r="150" spans="1:9" x14ac:dyDescent="0.25">
      <c r="A150" s="13" t="s">
        <v>73</v>
      </c>
      <c r="B150" s="2" t="s">
        <v>14</v>
      </c>
      <c r="C150" s="18" t="s">
        <v>24</v>
      </c>
      <c r="D150" s="16"/>
      <c r="E150" s="15">
        <v>1999.98</v>
      </c>
      <c r="F150" s="3">
        <f t="shared" si="12"/>
        <v>-1999.98</v>
      </c>
      <c r="G150" s="2">
        <f t="shared" si="13"/>
        <v>2026</v>
      </c>
      <c r="H150" s="2">
        <f t="shared" si="14"/>
        <v>4</v>
      </c>
      <c r="I150" s="2">
        <f t="shared" si="11"/>
        <v>2</v>
      </c>
    </row>
    <row r="151" spans="1:9" x14ac:dyDescent="0.25">
      <c r="A151" s="13" t="s">
        <v>73</v>
      </c>
      <c r="B151" s="2" t="s">
        <v>14</v>
      </c>
      <c r="C151" s="18" t="s">
        <v>17</v>
      </c>
      <c r="D151" s="16"/>
      <c r="E151" s="15">
        <v>1691.39</v>
      </c>
      <c r="F151" s="3">
        <f t="shared" si="12"/>
        <v>-1691.39</v>
      </c>
      <c r="G151" s="2">
        <f t="shared" si="13"/>
        <v>2026</v>
      </c>
      <c r="H151" s="2">
        <f t="shared" si="14"/>
        <v>4</v>
      </c>
      <c r="I151" s="2">
        <f t="shared" si="11"/>
        <v>2</v>
      </c>
    </row>
    <row r="152" spans="1:9" x14ac:dyDescent="0.25">
      <c r="A152" s="13" t="s">
        <v>73</v>
      </c>
      <c r="B152" s="2" t="s">
        <v>14</v>
      </c>
      <c r="C152" s="18" t="s">
        <v>31</v>
      </c>
      <c r="D152" s="16"/>
      <c r="E152" s="15">
        <v>61697</v>
      </c>
      <c r="F152" s="3">
        <f t="shared" si="12"/>
        <v>-61697</v>
      </c>
      <c r="G152" s="2">
        <f t="shared" si="13"/>
        <v>2026</v>
      </c>
      <c r="H152" s="2">
        <f t="shared" si="14"/>
        <v>4</v>
      </c>
      <c r="I152" s="2">
        <f t="shared" si="11"/>
        <v>2</v>
      </c>
    </row>
    <row r="153" spans="1:9" x14ac:dyDescent="0.25">
      <c r="A153" s="13" t="s">
        <v>73</v>
      </c>
      <c r="B153" s="2" t="s">
        <v>14</v>
      </c>
      <c r="C153" s="21" t="s">
        <v>13</v>
      </c>
      <c r="D153" s="16"/>
      <c r="E153" s="15">
        <v>8963.32</v>
      </c>
      <c r="F153" s="3">
        <f t="shared" si="12"/>
        <v>-8963.32</v>
      </c>
      <c r="G153" s="2">
        <f t="shared" si="13"/>
        <v>2026</v>
      </c>
      <c r="H153" s="2">
        <f t="shared" si="14"/>
        <v>4</v>
      </c>
      <c r="I153" s="2">
        <f t="shared" si="11"/>
        <v>2</v>
      </c>
    </row>
    <row r="154" spans="1:9" x14ac:dyDescent="0.25">
      <c r="A154" s="13" t="s">
        <v>74</v>
      </c>
      <c r="B154" s="2" t="s">
        <v>10</v>
      </c>
      <c r="C154" s="18" t="s">
        <v>12</v>
      </c>
      <c r="D154" s="15">
        <v>44995.98</v>
      </c>
      <c r="E154" s="16"/>
      <c r="F154" s="3">
        <f t="shared" si="12"/>
        <v>44995.98</v>
      </c>
      <c r="G154" s="2">
        <f t="shared" si="13"/>
        <v>2026</v>
      </c>
      <c r="H154" s="2">
        <f t="shared" si="14"/>
        <v>4</v>
      </c>
      <c r="I154" s="2">
        <f t="shared" si="11"/>
        <v>2</v>
      </c>
    </row>
    <row r="155" spans="1:9" x14ac:dyDescent="0.25">
      <c r="A155" s="13" t="s">
        <v>74</v>
      </c>
      <c r="B155" s="2" t="s">
        <v>10</v>
      </c>
      <c r="C155" s="21" t="s">
        <v>13</v>
      </c>
      <c r="D155" s="15">
        <v>3906</v>
      </c>
      <c r="E155" s="16"/>
      <c r="F155" s="3">
        <f t="shared" si="12"/>
        <v>3906</v>
      </c>
      <c r="G155" s="2">
        <f t="shared" si="13"/>
        <v>2026</v>
      </c>
      <c r="H155" s="2">
        <f t="shared" si="14"/>
        <v>4</v>
      </c>
      <c r="I155" s="2">
        <f t="shared" si="11"/>
        <v>2</v>
      </c>
    </row>
    <row r="156" spans="1:9" x14ac:dyDescent="0.25">
      <c r="A156" s="13" t="s">
        <v>74</v>
      </c>
      <c r="B156" s="2" t="s">
        <v>10</v>
      </c>
      <c r="C156" s="21" t="s">
        <v>13</v>
      </c>
      <c r="D156" s="15">
        <v>1378.5</v>
      </c>
      <c r="E156" s="16"/>
      <c r="F156" s="3">
        <f t="shared" si="12"/>
        <v>1378.5</v>
      </c>
      <c r="G156" s="2">
        <f t="shared" si="13"/>
        <v>2026</v>
      </c>
      <c r="H156" s="2">
        <f t="shared" si="14"/>
        <v>4</v>
      </c>
      <c r="I156" s="2">
        <f t="shared" si="11"/>
        <v>2</v>
      </c>
    </row>
    <row r="157" spans="1:9" x14ac:dyDescent="0.25">
      <c r="A157" s="13" t="s">
        <v>74</v>
      </c>
      <c r="B157" s="2" t="s">
        <v>10</v>
      </c>
      <c r="C157" s="21" t="s">
        <v>13</v>
      </c>
      <c r="D157" s="15">
        <v>1599</v>
      </c>
      <c r="E157" s="16"/>
      <c r="F157" s="3">
        <f t="shared" si="12"/>
        <v>1599</v>
      </c>
      <c r="G157" s="2">
        <f t="shared" si="13"/>
        <v>2026</v>
      </c>
      <c r="H157" s="2">
        <f t="shared" si="14"/>
        <v>4</v>
      </c>
      <c r="I157" s="2">
        <f t="shared" si="11"/>
        <v>2</v>
      </c>
    </row>
    <row r="158" spans="1:9" x14ac:dyDescent="0.25">
      <c r="A158" s="13" t="s">
        <v>74</v>
      </c>
      <c r="B158" s="2" t="s">
        <v>10</v>
      </c>
      <c r="C158" s="21" t="s">
        <v>13</v>
      </c>
      <c r="D158" s="15">
        <v>2700</v>
      </c>
      <c r="E158" s="16"/>
      <c r="F158" s="3">
        <f t="shared" si="12"/>
        <v>2700</v>
      </c>
      <c r="G158" s="2">
        <f t="shared" si="13"/>
        <v>2026</v>
      </c>
      <c r="H158" s="2">
        <f t="shared" si="14"/>
        <v>4</v>
      </c>
      <c r="I158" s="2">
        <f t="shared" si="11"/>
        <v>2</v>
      </c>
    </row>
    <row r="159" spans="1:9" x14ac:dyDescent="0.25">
      <c r="A159" s="13" t="s">
        <v>74</v>
      </c>
      <c r="B159" s="2" t="s">
        <v>10</v>
      </c>
      <c r="C159" s="23" t="s">
        <v>11</v>
      </c>
      <c r="D159" s="15">
        <v>26040</v>
      </c>
      <c r="E159" s="16"/>
      <c r="F159" s="3">
        <f t="shared" si="12"/>
        <v>26040</v>
      </c>
      <c r="G159" s="2">
        <f t="shared" si="13"/>
        <v>2026</v>
      </c>
      <c r="H159" s="2">
        <f t="shared" si="14"/>
        <v>4</v>
      </c>
      <c r="I159" s="2">
        <f t="shared" si="11"/>
        <v>2</v>
      </c>
    </row>
    <row r="160" spans="1:9" x14ac:dyDescent="0.25">
      <c r="A160" s="13" t="s">
        <v>74</v>
      </c>
      <c r="B160" s="2" t="s">
        <v>10</v>
      </c>
      <c r="C160" s="23" t="s">
        <v>11</v>
      </c>
      <c r="D160" s="15">
        <v>9190</v>
      </c>
      <c r="E160" s="16"/>
      <c r="F160" s="3">
        <f t="shared" si="12"/>
        <v>9190</v>
      </c>
      <c r="G160" s="2">
        <f t="shared" si="13"/>
        <v>2026</v>
      </c>
      <c r="H160" s="2">
        <f t="shared" si="14"/>
        <v>4</v>
      </c>
      <c r="I160" s="2">
        <f t="shared" si="11"/>
        <v>2</v>
      </c>
    </row>
    <row r="161" spans="1:9" x14ac:dyDescent="0.25">
      <c r="A161" s="13" t="s">
        <v>74</v>
      </c>
      <c r="B161" s="2" t="s">
        <v>10</v>
      </c>
      <c r="C161" s="23" t="s">
        <v>11</v>
      </c>
      <c r="D161" s="15">
        <v>10660</v>
      </c>
      <c r="E161" s="16"/>
      <c r="F161" s="3">
        <f t="shared" si="12"/>
        <v>10660</v>
      </c>
      <c r="G161" s="2">
        <f t="shared" si="13"/>
        <v>2026</v>
      </c>
      <c r="H161" s="2">
        <f t="shared" si="14"/>
        <v>4</v>
      </c>
      <c r="I161" s="2">
        <f t="shared" si="11"/>
        <v>2</v>
      </c>
    </row>
    <row r="162" spans="1:9" x14ac:dyDescent="0.25">
      <c r="A162" s="13" t="s">
        <v>74</v>
      </c>
      <c r="B162" s="2" t="s">
        <v>10</v>
      </c>
      <c r="C162" s="23" t="s">
        <v>11</v>
      </c>
      <c r="D162" s="15">
        <v>18000</v>
      </c>
      <c r="E162" s="16"/>
      <c r="F162" s="3">
        <f t="shared" si="12"/>
        <v>18000</v>
      </c>
      <c r="G162" s="2">
        <f t="shared" si="13"/>
        <v>2026</v>
      </c>
      <c r="H162" s="2">
        <f t="shared" si="14"/>
        <v>4</v>
      </c>
      <c r="I162" s="2">
        <f t="shared" si="11"/>
        <v>2</v>
      </c>
    </row>
    <row r="163" spans="1:9" x14ac:dyDescent="0.25">
      <c r="A163" s="13" t="s">
        <v>74</v>
      </c>
      <c r="B163" s="2" t="s">
        <v>14</v>
      </c>
      <c r="C163" s="18" t="s">
        <v>18</v>
      </c>
      <c r="D163" s="16"/>
      <c r="E163" s="15">
        <v>1703.56</v>
      </c>
      <c r="F163" s="3">
        <f t="shared" si="12"/>
        <v>-1703.56</v>
      </c>
      <c r="G163" s="2">
        <f t="shared" si="13"/>
        <v>2026</v>
      </c>
      <c r="H163" s="2">
        <f t="shared" si="14"/>
        <v>4</v>
      </c>
      <c r="I163" s="2">
        <f t="shared" si="11"/>
        <v>2</v>
      </c>
    </row>
    <row r="164" spans="1:9" x14ac:dyDescent="0.25">
      <c r="A164" s="13" t="s">
        <v>74</v>
      </c>
      <c r="B164" s="2" t="s">
        <v>14</v>
      </c>
      <c r="C164" s="21" t="s">
        <v>13</v>
      </c>
      <c r="D164" s="16"/>
      <c r="E164" s="15">
        <v>3906</v>
      </c>
      <c r="F164" s="3">
        <f t="shared" si="12"/>
        <v>-3906</v>
      </c>
      <c r="G164" s="2">
        <f t="shared" si="13"/>
        <v>2026</v>
      </c>
      <c r="H164" s="2">
        <f t="shared" si="14"/>
        <v>4</v>
      </c>
      <c r="I164" s="2">
        <f t="shared" si="11"/>
        <v>2</v>
      </c>
    </row>
    <row r="165" spans="1:9" x14ac:dyDescent="0.25">
      <c r="A165" s="13" t="s">
        <v>74</v>
      </c>
      <c r="B165" s="2" t="s">
        <v>14</v>
      </c>
      <c r="C165" s="21" t="s">
        <v>13</v>
      </c>
      <c r="D165" s="16"/>
      <c r="E165" s="15">
        <v>1378.5</v>
      </c>
      <c r="F165" s="3">
        <f t="shared" si="12"/>
        <v>-1378.5</v>
      </c>
      <c r="G165" s="2">
        <f t="shared" si="13"/>
        <v>2026</v>
      </c>
      <c r="H165" s="2">
        <f t="shared" si="14"/>
        <v>4</v>
      </c>
      <c r="I165" s="2">
        <f t="shared" si="11"/>
        <v>2</v>
      </c>
    </row>
    <row r="166" spans="1:9" x14ac:dyDescent="0.25">
      <c r="A166" s="13" t="s">
        <v>74</v>
      </c>
      <c r="B166" s="2" t="s">
        <v>14</v>
      </c>
      <c r="C166" s="21" t="s">
        <v>13</v>
      </c>
      <c r="D166" s="16"/>
      <c r="E166" s="15">
        <v>1599</v>
      </c>
      <c r="F166" s="3">
        <f t="shared" si="12"/>
        <v>-1599</v>
      </c>
      <c r="G166" s="2">
        <f t="shared" si="13"/>
        <v>2026</v>
      </c>
      <c r="H166" s="2">
        <f t="shared" si="14"/>
        <v>4</v>
      </c>
      <c r="I166" s="2">
        <f t="shared" si="11"/>
        <v>2</v>
      </c>
    </row>
    <row r="167" spans="1:9" x14ac:dyDescent="0.25">
      <c r="A167" s="13" t="s">
        <v>74</v>
      </c>
      <c r="B167" s="2" t="s">
        <v>14</v>
      </c>
      <c r="C167" s="18" t="s">
        <v>16</v>
      </c>
      <c r="D167" s="16"/>
      <c r="E167" s="15">
        <v>3569</v>
      </c>
      <c r="F167" s="3">
        <f t="shared" si="12"/>
        <v>-3569</v>
      </c>
      <c r="G167" s="2">
        <f t="shared" si="13"/>
        <v>2026</v>
      </c>
      <c r="H167" s="2">
        <f t="shared" si="14"/>
        <v>4</v>
      </c>
      <c r="I167" s="2">
        <f t="shared" si="11"/>
        <v>2</v>
      </c>
    </row>
    <row r="168" spans="1:9" x14ac:dyDescent="0.25">
      <c r="A168" s="13" t="s">
        <v>74</v>
      </c>
      <c r="B168" s="2" t="s">
        <v>14</v>
      </c>
      <c r="C168" s="18" t="s">
        <v>16</v>
      </c>
      <c r="D168" s="16"/>
      <c r="E168" s="15">
        <v>4759</v>
      </c>
      <c r="F168" s="3">
        <f t="shared" si="12"/>
        <v>-4759</v>
      </c>
      <c r="G168" s="2">
        <f t="shared" si="13"/>
        <v>2026</v>
      </c>
      <c r="H168" s="2">
        <f t="shared" si="14"/>
        <v>4</v>
      </c>
      <c r="I168" s="2">
        <f t="shared" si="11"/>
        <v>2</v>
      </c>
    </row>
    <row r="169" spans="1:9" x14ac:dyDescent="0.25">
      <c r="A169" s="13" t="s">
        <v>74</v>
      </c>
      <c r="B169" s="2" t="s">
        <v>14</v>
      </c>
      <c r="C169" s="18" t="s">
        <v>16</v>
      </c>
      <c r="D169" s="16"/>
      <c r="E169" s="15">
        <v>2301.88</v>
      </c>
      <c r="F169" s="3">
        <f t="shared" si="12"/>
        <v>-2301.88</v>
      </c>
      <c r="G169" s="2">
        <f t="shared" si="13"/>
        <v>2026</v>
      </c>
      <c r="H169" s="2">
        <f t="shared" si="14"/>
        <v>4</v>
      </c>
      <c r="I169" s="2">
        <f t="shared" si="11"/>
        <v>2</v>
      </c>
    </row>
    <row r="170" spans="1:9" x14ac:dyDescent="0.25">
      <c r="A170" s="13" t="s">
        <v>74</v>
      </c>
      <c r="B170" s="2" t="s">
        <v>14</v>
      </c>
      <c r="C170" s="21" t="s">
        <v>13</v>
      </c>
      <c r="D170" s="16"/>
      <c r="E170" s="15">
        <v>2700</v>
      </c>
      <c r="F170" s="3">
        <f t="shared" si="12"/>
        <v>-2700</v>
      </c>
      <c r="G170" s="2">
        <f t="shared" si="13"/>
        <v>2026</v>
      </c>
      <c r="H170" s="2">
        <f t="shared" si="14"/>
        <v>4</v>
      </c>
      <c r="I170" s="2">
        <f t="shared" si="11"/>
        <v>2</v>
      </c>
    </row>
    <row r="171" spans="1:9" x14ac:dyDescent="0.25">
      <c r="A171" s="13" t="s">
        <v>75</v>
      </c>
      <c r="B171" s="2" t="s">
        <v>10</v>
      </c>
      <c r="C171" s="18" t="s">
        <v>12</v>
      </c>
      <c r="D171" s="17">
        <v>729.41</v>
      </c>
      <c r="E171" s="16"/>
      <c r="F171" s="3">
        <f t="shared" si="12"/>
        <v>729.41</v>
      </c>
      <c r="G171" s="2">
        <f t="shared" si="13"/>
        <v>2026</v>
      </c>
      <c r="H171" s="2">
        <f t="shared" si="14"/>
        <v>4</v>
      </c>
      <c r="I171" s="2">
        <f t="shared" si="11"/>
        <v>2</v>
      </c>
    </row>
    <row r="172" spans="1:9" x14ac:dyDescent="0.25">
      <c r="A172" s="13" t="s">
        <v>75</v>
      </c>
      <c r="B172" s="2" t="s">
        <v>10</v>
      </c>
      <c r="C172" s="23" t="s">
        <v>24</v>
      </c>
      <c r="D172" s="17">
        <v>990</v>
      </c>
      <c r="E172" s="16"/>
      <c r="F172" s="3">
        <f t="shared" si="12"/>
        <v>990</v>
      </c>
      <c r="G172" s="2">
        <f t="shared" si="13"/>
        <v>2026</v>
      </c>
      <c r="H172" s="2">
        <f t="shared" si="14"/>
        <v>4</v>
      </c>
      <c r="I172" s="2">
        <f t="shared" si="11"/>
        <v>2</v>
      </c>
    </row>
    <row r="173" spans="1:9" x14ac:dyDescent="0.25">
      <c r="A173" s="13" t="s">
        <v>75</v>
      </c>
      <c r="B173" s="2" t="s">
        <v>10</v>
      </c>
      <c r="C173" s="23" t="s">
        <v>24</v>
      </c>
      <c r="D173" s="15">
        <v>1190</v>
      </c>
      <c r="E173" s="16"/>
      <c r="F173" s="3">
        <f t="shared" si="12"/>
        <v>1190</v>
      </c>
      <c r="G173" s="2">
        <f t="shared" si="13"/>
        <v>2026</v>
      </c>
      <c r="H173" s="2">
        <f t="shared" si="14"/>
        <v>4</v>
      </c>
      <c r="I173" s="2">
        <f t="shared" si="11"/>
        <v>2</v>
      </c>
    </row>
    <row r="174" spans="1:9" x14ac:dyDescent="0.25">
      <c r="A174" s="13" t="s">
        <v>75</v>
      </c>
      <c r="B174" s="2" t="s">
        <v>10</v>
      </c>
      <c r="C174" s="18" t="s">
        <v>12</v>
      </c>
      <c r="D174" s="15">
        <v>6491.74</v>
      </c>
      <c r="E174" s="16"/>
      <c r="F174" s="3">
        <f t="shared" si="12"/>
        <v>6491.74</v>
      </c>
      <c r="G174" s="2">
        <f t="shared" si="13"/>
        <v>2026</v>
      </c>
      <c r="H174" s="2">
        <f t="shared" si="14"/>
        <v>4</v>
      </c>
      <c r="I174" s="2">
        <f t="shared" si="11"/>
        <v>2</v>
      </c>
    </row>
    <row r="175" spans="1:9" x14ac:dyDescent="0.25">
      <c r="A175" s="13" t="s">
        <v>75</v>
      </c>
      <c r="B175" s="2" t="s">
        <v>10</v>
      </c>
      <c r="C175" s="21" t="s">
        <v>13</v>
      </c>
      <c r="D175" s="15">
        <v>14700</v>
      </c>
      <c r="E175" s="16"/>
      <c r="F175" s="3">
        <f t="shared" si="12"/>
        <v>14700</v>
      </c>
      <c r="G175" s="2">
        <f t="shared" si="13"/>
        <v>2026</v>
      </c>
      <c r="H175" s="2">
        <f t="shared" si="14"/>
        <v>4</v>
      </c>
      <c r="I175" s="2">
        <f t="shared" si="11"/>
        <v>2</v>
      </c>
    </row>
    <row r="176" spans="1:9" x14ac:dyDescent="0.25">
      <c r="A176" s="13" t="s">
        <v>75</v>
      </c>
      <c r="B176" s="2" t="s">
        <v>10</v>
      </c>
      <c r="C176" s="21" t="s">
        <v>13</v>
      </c>
      <c r="D176" s="17">
        <v>818.25</v>
      </c>
      <c r="E176" s="16"/>
      <c r="F176" s="3">
        <f t="shared" si="12"/>
        <v>818.25</v>
      </c>
      <c r="G176" s="2">
        <f t="shared" si="13"/>
        <v>2026</v>
      </c>
      <c r="H176" s="2">
        <f t="shared" si="14"/>
        <v>4</v>
      </c>
      <c r="I176" s="2">
        <f t="shared" si="11"/>
        <v>2</v>
      </c>
    </row>
    <row r="177" spans="1:9" x14ac:dyDescent="0.25">
      <c r="A177" s="13" t="s">
        <v>75</v>
      </c>
      <c r="B177" s="2" t="s">
        <v>10</v>
      </c>
      <c r="C177" s="21" t="s">
        <v>13</v>
      </c>
      <c r="D177" s="15">
        <v>1109.1099999999999</v>
      </c>
      <c r="E177" s="16"/>
      <c r="F177" s="3">
        <f t="shared" si="12"/>
        <v>1109.1099999999999</v>
      </c>
      <c r="G177" s="2">
        <f t="shared" si="13"/>
        <v>2026</v>
      </c>
      <c r="H177" s="2">
        <f t="shared" si="14"/>
        <v>4</v>
      </c>
      <c r="I177" s="2">
        <f t="shared" si="11"/>
        <v>2</v>
      </c>
    </row>
    <row r="178" spans="1:9" x14ac:dyDescent="0.25">
      <c r="A178" s="13" t="s">
        <v>75</v>
      </c>
      <c r="B178" s="2" t="s">
        <v>10</v>
      </c>
      <c r="C178" s="21" t="s">
        <v>13</v>
      </c>
      <c r="D178" s="15">
        <v>1127.49</v>
      </c>
      <c r="E178" s="16"/>
      <c r="F178" s="3">
        <f t="shared" si="12"/>
        <v>1127.49</v>
      </c>
      <c r="G178" s="2">
        <f t="shared" si="13"/>
        <v>2026</v>
      </c>
      <c r="H178" s="2">
        <f t="shared" si="14"/>
        <v>4</v>
      </c>
      <c r="I178" s="2">
        <f t="shared" si="11"/>
        <v>2</v>
      </c>
    </row>
    <row r="179" spans="1:9" x14ac:dyDescent="0.25">
      <c r="A179" s="13" t="s">
        <v>75</v>
      </c>
      <c r="B179" s="2" t="s">
        <v>10</v>
      </c>
      <c r="C179" s="21" t="s">
        <v>13</v>
      </c>
      <c r="D179" s="15">
        <v>2727.75</v>
      </c>
      <c r="E179" s="16"/>
      <c r="F179" s="3">
        <f t="shared" si="12"/>
        <v>2727.75</v>
      </c>
      <c r="G179" s="2">
        <f t="shared" si="13"/>
        <v>2026</v>
      </c>
      <c r="H179" s="2">
        <f t="shared" si="14"/>
        <v>4</v>
      </c>
      <c r="I179" s="2">
        <f t="shared" si="11"/>
        <v>2</v>
      </c>
    </row>
    <row r="180" spans="1:9" x14ac:dyDescent="0.25">
      <c r="A180" s="13" t="s">
        <v>75</v>
      </c>
      <c r="B180" s="2" t="s">
        <v>10</v>
      </c>
      <c r="C180" s="23" t="s">
        <v>11</v>
      </c>
      <c r="D180" s="15">
        <v>98000</v>
      </c>
      <c r="E180" s="16"/>
      <c r="F180" s="3">
        <f t="shared" si="12"/>
        <v>98000</v>
      </c>
      <c r="G180" s="2">
        <f t="shared" si="13"/>
        <v>2026</v>
      </c>
      <c r="H180" s="2">
        <f t="shared" si="14"/>
        <v>4</v>
      </c>
      <c r="I180" s="2">
        <f t="shared" si="11"/>
        <v>2</v>
      </c>
    </row>
    <row r="181" spans="1:9" x14ac:dyDescent="0.25">
      <c r="A181" s="13" t="s">
        <v>75</v>
      </c>
      <c r="B181" s="2" t="s">
        <v>10</v>
      </c>
      <c r="C181" s="23" t="s">
        <v>11</v>
      </c>
      <c r="D181" s="15">
        <v>5455</v>
      </c>
      <c r="E181" s="16"/>
      <c r="F181" s="3">
        <f t="shared" si="12"/>
        <v>5455</v>
      </c>
      <c r="G181" s="2">
        <f t="shared" si="13"/>
        <v>2026</v>
      </c>
      <c r="H181" s="2">
        <f t="shared" si="14"/>
        <v>4</v>
      </c>
      <c r="I181" s="2">
        <f t="shared" si="11"/>
        <v>2</v>
      </c>
    </row>
    <row r="182" spans="1:9" x14ac:dyDescent="0.25">
      <c r="A182" s="13" t="s">
        <v>75</v>
      </c>
      <c r="B182" s="2" t="s">
        <v>10</v>
      </c>
      <c r="C182" s="23" t="s">
        <v>11</v>
      </c>
      <c r="D182" s="15">
        <v>7394.1</v>
      </c>
      <c r="E182" s="16"/>
      <c r="F182" s="3">
        <f t="shared" si="12"/>
        <v>7394.1</v>
      </c>
      <c r="G182" s="2">
        <f t="shared" si="13"/>
        <v>2026</v>
      </c>
      <c r="H182" s="2">
        <f t="shared" si="14"/>
        <v>4</v>
      </c>
      <c r="I182" s="2">
        <f t="shared" si="11"/>
        <v>2</v>
      </c>
    </row>
    <row r="183" spans="1:9" x14ac:dyDescent="0.25">
      <c r="A183" s="13" t="s">
        <v>75</v>
      </c>
      <c r="B183" s="2" t="s">
        <v>10</v>
      </c>
      <c r="C183" s="23" t="s">
        <v>11</v>
      </c>
      <c r="D183" s="15">
        <v>7516.6</v>
      </c>
      <c r="E183" s="16"/>
      <c r="F183" s="3">
        <f t="shared" si="12"/>
        <v>7516.6</v>
      </c>
      <c r="G183" s="2">
        <f t="shared" si="13"/>
        <v>2026</v>
      </c>
      <c r="H183" s="2">
        <f t="shared" si="14"/>
        <v>4</v>
      </c>
      <c r="I183" s="2">
        <f t="shared" si="11"/>
        <v>2</v>
      </c>
    </row>
    <row r="184" spans="1:9" x14ac:dyDescent="0.25">
      <c r="A184" s="13" t="s">
        <v>75</v>
      </c>
      <c r="B184" s="2" t="s">
        <v>10</v>
      </c>
      <c r="C184" s="23" t="s">
        <v>11</v>
      </c>
      <c r="D184" s="15">
        <v>18185</v>
      </c>
      <c r="E184" s="16"/>
      <c r="F184" s="3">
        <f t="shared" si="12"/>
        <v>18185</v>
      </c>
      <c r="G184" s="2">
        <f t="shared" si="13"/>
        <v>2026</v>
      </c>
      <c r="H184" s="2">
        <f t="shared" si="14"/>
        <v>4</v>
      </c>
      <c r="I184" s="2">
        <f t="shared" si="11"/>
        <v>2</v>
      </c>
    </row>
    <row r="185" spans="1:9" x14ac:dyDescent="0.25">
      <c r="A185" s="13" t="s">
        <v>75</v>
      </c>
      <c r="B185" s="2" t="s">
        <v>14</v>
      </c>
      <c r="C185" s="23" t="s">
        <v>104</v>
      </c>
      <c r="D185" s="16"/>
      <c r="E185" s="15">
        <v>22648.82</v>
      </c>
      <c r="F185" s="3">
        <f t="shared" si="12"/>
        <v>-22648.82</v>
      </c>
      <c r="G185" s="2">
        <f t="shared" si="13"/>
        <v>2026</v>
      </c>
      <c r="H185" s="2">
        <f t="shared" si="14"/>
        <v>4</v>
      </c>
      <c r="I185" s="2">
        <f t="shared" si="11"/>
        <v>2</v>
      </c>
    </row>
    <row r="186" spans="1:9" x14ac:dyDescent="0.25">
      <c r="A186" s="13" t="s">
        <v>75</v>
      </c>
      <c r="B186" s="2" t="s">
        <v>14</v>
      </c>
      <c r="C186" s="23" t="s">
        <v>104</v>
      </c>
      <c r="D186" s="16"/>
      <c r="E186" s="15">
        <v>38671.370000000003</v>
      </c>
      <c r="F186" s="3">
        <f t="shared" si="12"/>
        <v>-38671.370000000003</v>
      </c>
      <c r="G186" s="2">
        <f t="shared" si="13"/>
        <v>2026</v>
      </c>
      <c r="H186" s="2">
        <f t="shared" si="14"/>
        <v>4</v>
      </c>
      <c r="I186" s="2">
        <f t="shared" si="11"/>
        <v>2</v>
      </c>
    </row>
    <row r="187" spans="1:9" x14ac:dyDescent="0.25">
      <c r="A187" s="13" t="s">
        <v>75</v>
      </c>
      <c r="B187" s="2" t="s">
        <v>14</v>
      </c>
      <c r="C187" s="18" t="s">
        <v>29</v>
      </c>
      <c r="D187" s="16"/>
      <c r="E187" s="15">
        <v>3500</v>
      </c>
      <c r="F187" s="3">
        <f t="shared" si="12"/>
        <v>-3500</v>
      </c>
      <c r="G187" s="2">
        <f t="shared" si="13"/>
        <v>2026</v>
      </c>
      <c r="H187" s="2">
        <f t="shared" si="14"/>
        <v>4</v>
      </c>
      <c r="I187" s="2">
        <f t="shared" si="11"/>
        <v>2</v>
      </c>
    </row>
    <row r="188" spans="1:9" x14ac:dyDescent="0.25">
      <c r="A188" s="13" t="s">
        <v>75</v>
      </c>
      <c r="B188" s="2" t="s">
        <v>14</v>
      </c>
      <c r="C188" s="21" t="s">
        <v>13</v>
      </c>
      <c r="D188" s="16"/>
      <c r="E188" s="15">
        <v>14700</v>
      </c>
      <c r="F188" s="3">
        <f t="shared" si="12"/>
        <v>-14700</v>
      </c>
      <c r="G188" s="2">
        <f t="shared" si="13"/>
        <v>2026</v>
      </c>
      <c r="H188" s="2">
        <f t="shared" si="14"/>
        <v>4</v>
      </c>
      <c r="I188" s="2">
        <f t="shared" si="11"/>
        <v>2</v>
      </c>
    </row>
    <row r="189" spans="1:9" x14ac:dyDescent="0.25">
      <c r="A189" s="13" t="s">
        <v>75</v>
      </c>
      <c r="B189" s="2" t="s">
        <v>14</v>
      </c>
      <c r="C189" s="21" t="s">
        <v>13</v>
      </c>
      <c r="D189" s="16"/>
      <c r="E189" s="17">
        <v>818.25</v>
      </c>
      <c r="F189" s="3">
        <f t="shared" si="12"/>
        <v>-818.25</v>
      </c>
      <c r="G189" s="2">
        <f t="shared" si="13"/>
        <v>2026</v>
      </c>
      <c r="H189" s="2">
        <f t="shared" si="14"/>
        <v>4</v>
      </c>
      <c r="I189" s="2">
        <f t="shared" si="11"/>
        <v>2</v>
      </c>
    </row>
    <row r="190" spans="1:9" x14ac:dyDescent="0.25">
      <c r="A190" s="13" t="s">
        <v>75</v>
      </c>
      <c r="B190" s="2" t="s">
        <v>14</v>
      </c>
      <c r="C190" s="18" t="s">
        <v>27</v>
      </c>
      <c r="D190" s="16"/>
      <c r="E190" s="15">
        <v>13150</v>
      </c>
      <c r="F190" s="3">
        <f t="shared" si="12"/>
        <v>-13150</v>
      </c>
      <c r="G190" s="2">
        <f t="shared" si="13"/>
        <v>2026</v>
      </c>
      <c r="H190" s="2">
        <f t="shared" si="14"/>
        <v>4</v>
      </c>
      <c r="I190" s="2">
        <f t="shared" si="11"/>
        <v>2</v>
      </c>
    </row>
    <row r="191" spans="1:9" x14ac:dyDescent="0.25">
      <c r="A191" s="13" t="s">
        <v>75</v>
      </c>
      <c r="B191" s="2" t="s">
        <v>14</v>
      </c>
      <c r="C191" s="21" t="s">
        <v>13</v>
      </c>
      <c r="D191" s="16"/>
      <c r="E191" s="15">
        <v>1109.1099999999999</v>
      </c>
      <c r="F191" s="3">
        <f t="shared" si="12"/>
        <v>-1109.1099999999999</v>
      </c>
      <c r="G191" s="2">
        <f t="shared" si="13"/>
        <v>2026</v>
      </c>
      <c r="H191" s="2">
        <f t="shared" si="14"/>
        <v>4</v>
      </c>
      <c r="I191" s="2">
        <f t="shared" si="11"/>
        <v>2</v>
      </c>
    </row>
    <row r="192" spans="1:9" x14ac:dyDescent="0.25">
      <c r="A192" s="13" t="s">
        <v>75</v>
      </c>
      <c r="B192" s="2" t="s">
        <v>14</v>
      </c>
      <c r="C192" s="21" t="s">
        <v>13</v>
      </c>
      <c r="D192" s="16"/>
      <c r="E192" s="15">
        <v>1127.49</v>
      </c>
      <c r="F192" s="3">
        <f t="shared" si="12"/>
        <v>-1127.49</v>
      </c>
      <c r="G192" s="2">
        <f t="shared" si="13"/>
        <v>2026</v>
      </c>
      <c r="H192" s="2">
        <f t="shared" si="14"/>
        <v>4</v>
      </c>
      <c r="I192" s="2">
        <f t="shared" si="11"/>
        <v>2</v>
      </c>
    </row>
    <row r="193" spans="1:9" x14ac:dyDescent="0.25">
      <c r="A193" s="13" t="s">
        <v>75</v>
      </c>
      <c r="B193" s="2" t="s">
        <v>14</v>
      </c>
      <c r="C193" s="21" t="s">
        <v>13</v>
      </c>
      <c r="D193" s="16"/>
      <c r="E193" s="15">
        <v>2727.75</v>
      </c>
      <c r="F193" s="3">
        <f t="shared" si="12"/>
        <v>-2727.75</v>
      </c>
      <c r="G193" s="2">
        <f t="shared" si="13"/>
        <v>2026</v>
      </c>
      <c r="H193" s="2">
        <f t="shared" si="14"/>
        <v>4</v>
      </c>
      <c r="I193" s="2">
        <f t="shared" si="11"/>
        <v>2</v>
      </c>
    </row>
    <row r="194" spans="1:9" x14ac:dyDescent="0.25">
      <c r="A194" s="13" t="s">
        <v>75</v>
      </c>
      <c r="B194" s="2" t="s">
        <v>14</v>
      </c>
      <c r="C194" s="18" t="s">
        <v>18</v>
      </c>
      <c r="D194" s="16"/>
      <c r="E194" s="17">
        <v>900</v>
      </c>
      <c r="F194" s="3">
        <f t="shared" si="12"/>
        <v>-900</v>
      </c>
      <c r="G194" s="2">
        <f t="shared" si="13"/>
        <v>2026</v>
      </c>
      <c r="H194" s="2">
        <f t="shared" si="14"/>
        <v>4</v>
      </c>
      <c r="I194" s="2">
        <f t="shared" si="11"/>
        <v>2</v>
      </c>
    </row>
    <row r="195" spans="1:9" x14ac:dyDescent="0.25">
      <c r="A195" s="13" t="s">
        <v>75</v>
      </c>
      <c r="B195" s="2" t="s">
        <v>14</v>
      </c>
      <c r="C195" s="21" t="s">
        <v>36</v>
      </c>
      <c r="D195" s="15"/>
      <c r="E195" s="16">
        <v>188</v>
      </c>
      <c r="F195" s="3">
        <f t="shared" si="12"/>
        <v>-188</v>
      </c>
      <c r="G195" s="2">
        <f t="shared" si="13"/>
        <v>2026</v>
      </c>
      <c r="H195" s="2">
        <f t="shared" si="14"/>
        <v>4</v>
      </c>
      <c r="I195" s="2">
        <f t="shared" si="11"/>
        <v>2</v>
      </c>
    </row>
    <row r="196" spans="1:9" x14ac:dyDescent="0.25">
      <c r="A196" s="13" t="s">
        <v>76</v>
      </c>
      <c r="B196" s="2" t="s">
        <v>10</v>
      </c>
      <c r="C196" s="21" t="s">
        <v>12</v>
      </c>
      <c r="D196" s="15">
        <v>57485.48</v>
      </c>
      <c r="E196" s="16"/>
      <c r="F196" s="3">
        <f t="shared" si="12"/>
        <v>57485.48</v>
      </c>
      <c r="G196" s="2">
        <f t="shared" si="13"/>
        <v>2026</v>
      </c>
      <c r="H196" s="2">
        <f t="shared" si="14"/>
        <v>4</v>
      </c>
      <c r="I196" s="2">
        <f t="shared" ref="I196:I259" si="15">ROUNDUP(H196/3,0)</f>
        <v>2</v>
      </c>
    </row>
    <row r="197" spans="1:9" x14ac:dyDescent="0.25">
      <c r="A197" s="13" t="s">
        <v>76</v>
      </c>
      <c r="B197" s="2" t="s">
        <v>10</v>
      </c>
      <c r="C197" s="21" t="s">
        <v>13</v>
      </c>
      <c r="D197" s="15">
        <v>1513.5</v>
      </c>
      <c r="E197" s="16"/>
      <c r="F197" s="3">
        <f t="shared" ref="F197:F260" si="16">D197-E197</f>
        <v>1513.5</v>
      </c>
      <c r="G197" s="2">
        <f t="shared" ref="G197:G260" si="17">YEAR(A197)</f>
        <v>2026</v>
      </c>
      <c r="H197" s="2">
        <f t="shared" ref="H197:H260" si="18">MONTH(A197)</f>
        <v>4</v>
      </c>
      <c r="I197" s="2">
        <f t="shared" si="15"/>
        <v>2</v>
      </c>
    </row>
    <row r="198" spans="1:9" x14ac:dyDescent="0.25">
      <c r="A198" s="13" t="s">
        <v>76</v>
      </c>
      <c r="B198" s="2" t="s">
        <v>10</v>
      </c>
      <c r="C198" s="23" t="s">
        <v>13</v>
      </c>
      <c r="D198" s="15">
        <v>1500</v>
      </c>
      <c r="E198" s="16"/>
      <c r="F198" s="3">
        <f t="shared" si="16"/>
        <v>1500</v>
      </c>
      <c r="G198" s="2">
        <f t="shared" si="17"/>
        <v>2026</v>
      </c>
      <c r="H198" s="2">
        <f t="shared" si="18"/>
        <v>4</v>
      </c>
      <c r="I198" s="2">
        <f t="shared" si="15"/>
        <v>2</v>
      </c>
    </row>
    <row r="199" spans="1:9" x14ac:dyDescent="0.25">
      <c r="A199" s="13" t="s">
        <v>76</v>
      </c>
      <c r="B199" s="2" t="s">
        <v>10</v>
      </c>
      <c r="C199" s="23" t="s">
        <v>11</v>
      </c>
      <c r="D199" s="15">
        <v>10090</v>
      </c>
      <c r="E199" s="16"/>
      <c r="F199" s="3">
        <f t="shared" si="16"/>
        <v>10090</v>
      </c>
      <c r="G199" s="2">
        <f t="shared" si="17"/>
        <v>2026</v>
      </c>
      <c r="H199" s="2">
        <f t="shared" si="18"/>
        <v>4</v>
      </c>
      <c r="I199" s="2">
        <f t="shared" si="15"/>
        <v>2</v>
      </c>
    </row>
    <row r="200" spans="1:9" x14ac:dyDescent="0.25">
      <c r="A200" s="13" t="s">
        <v>76</v>
      </c>
      <c r="B200" s="2" t="s">
        <v>10</v>
      </c>
      <c r="C200" s="18" t="s">
        <v>11</v>
      </c>
      <c r="D200" s="16">
        <v>10000</v>
      </c>
      <c r="E200" s="15"/>
      <c r="F200" s="3">
        <f t="shared" si="16"/>
        <v>10000</v>
      </c>
      <c r="G200" s="2">
        <f t="shared" si="17"/>
        <v>2026</v>
      </c>
      <c r="H200" s="2">
        <f t="shared" si="18"/>
        <v>4</v>
      </c>
      <c r="I200" s="2">
        <f t="shared" si="15"/>
        <v>2</v>
      </c>
    </row>
    <row r="201" spans="1:9" x14ac:dyDescent="0.25">
      <c r="A201" s="13" t="s">
        <v>76</v>
      </c>
      <c r="B201" s="2" t="s">
        <v>14</v>
      </c>
      <c r="C201" s="18" t="s">
        <v>18</v>
      </c>
      <c r="D201" s="16"/>
      <c r="E201" s="15">
        <v>2111.77</v>
      </c>
      <c r="F201" s="3">
        <f t="shared" si="16"/>
        <v>-2111.77</v>
      </c>
      <c r="G201" s="2">
        <f t="shared" si="17"/>
        <v>2026</v>
      </c>
      <c r="H201" s="2">
        <f t="shared" si="18"/>
        <v>4</v>
      </c>
      <c r="I201" s="2">
        <f t="shared" si="15"/>
        <v>2</v>
      </c>
    </row>
    <row r="202" spans="1:9" x14ac:dyDescent="0.25">
      <c r="A202" s="13" t="s">
        <v>76</v>
      </c>
      <c r="B202" s="2" t="s">
        <v>14</v>
      </c>
      <c r="C202" s="21" t="s">
        <v>27</v>
      </c>
      <c r="D202" s="16"/>
      <c r="E202" s="15">
        <v>129742.2</v>
      </c>
      <c r="F202" s="3">
        <f t="shared" si="16"/>
        <v>-129742.2</v>
      </c>
      <c r="G202" s="2">
        <f t="shared" si="17"/>
        <v>2026</v>
      </c>
      <c r="H202" s="2">
        <f t="shared" si="18"/>
        <v>4</v>
      </c>
      <c r="I202" s="2">
        <f t="shared" si="15"/>
        <v>2</v>
      </c>
    </row>
    <row r="203" spans="1:9" x14ac:dyDescent="0.25">
      <c r="A203" s="13" t="s">
        <v>76</v>
      </c>
      <c r="B203" s="2" t="s">
        <v>14</v>
      </c>
      <c r="C203" s="21" t="s">
        <v>13</v>
      </c>
      <c r="D203" s="16"/>
      <c r="E203" s="15">
        <v>1513.5</v>
      </c>
      <c r="F203" s="3">
        <f t="shared" si="16"/>
        <v>-1513.5</v>
      </c>
      <c r="G203" s="2">
        <f t="shared" si="17"/>
        <v>2026</v>
      </c>
      <c r="H203" s="2">
        <f t="shared" si="18"/>
        <v>4</v>
      </c>
      <c r="I203" s="2">
        <f t="shared" si="15"/>
        <v>2</v>
      </c>
    </row>
    <row r="204" spans="1:9" x14ac:dyDescent="0.25">
      <c r="A204" s="13" t="s">
        <v>76</v>
      </c>
      <c r="B204" s="2" t="s">
        <v>14</v>
      </c>
      <c r="C204" s="18" t="s">
        <v>13</v>
      </c>
      <c r="D204" s="16"/>
      <c r="E204" s="15">
        <v>1500</v>
      </c>
      <c r="F204" s="3">
        <f t="shared" si="16"/>
        <v>-1500</v>
      </c>
      <c r="G204" s="2">
        <f t="shared" si="17"/>
        <v>2026</v>
      </c>
      <c r="H204" s="2">
        <f t="shared" si="18"/>
        <v>4</v>
      </c>
      <c r="I204" s="2">
        <f t="shared" si="15"/>
        <v>2</v>
      </c>
    </row>
    <row r="205" spans="1:9" x14ac:dyDescent="0.25">
      <c r="A205" s="13" t="s">
        <v>76</v>
      </c>
      <c r="B205" s="2" t="s">
        <v>14</v>
      </c>
      <c r="C205" s="21" t="s">
        <v>27</v>
      </c>
      <c r="D205" s="16"/>
      <c r="E205" s="17">
        <v>98000</v>
      </c>
      <c r="F205" s="3">
        <f t="shared" si="16"/>
        <v>-98000</v>
      </c>
      <c r="G205" s="2">
        <f t="shared" si="17"/>
        <v>2026</v>
      </c>
      <c r="H205" s="2">
        <f t="shared" si="18"/>
        <v>4</v>
      </c>
      <c r="I205" s="2">
        <f t="shared" si="15"/>
        <v>2</v>
      </c>
    </row>
    <row r="206" spans="1:9" x14ac:dyDescent="0.25">
      <c r="A206" s="13" t="s">
        <v>76</v>
      </c>
      <c r="B206" s="2" t="s">
        <v>14</v>
      </c>
      <c r="C206" s="18" t="s">
        <v>18</v>
      </c>
      <c r="D206" s="17"/>
      <c r="E206" s="16">
        <v>750</v>
      </c>
      <c r="F206" s="3">
        <f t="shared" si="16"/>
        <v>-750</v>
      </c>
      <c r="G206" s="2">
        <f t="shared" si="17"/>
        <v>2026</v>
      </c>
      <c r="H206" s="2">
        <f t="shared" si="18"/>
        <v>4</v>
      </c>
      <c r="I206" s="2">
        <f t="shared" si="15"/>
        <v>2</v>
      </c>
    </row>
    <row r="207" spans="1:9" x14ac:dyDescent="0.25">
      <c r="A207" s="13" t="s">
        <v>77</v>
      </c>
      <c r="B207" s="2" t="s">
        <v>10</v>
      </c>
      <c r="C207" s="23" t="s">
        <v>12</v>
      </c>
      <c r="D207" s="15">
        <v>953.1</v>
      </c>
      <c r="E207" s="16"/>
      <c r="F207" s="3">
        <f t="shared" si="16"/>
        <v>953.1</v>
      </c>
      <c r="G207" s="2">
        <f t="shared" si="17"/>
        <v>2026</v>
      </c>
      <c r="H207" s="2">
        <f t="shared" si="18"/>
        <v>4</v>
      </c>
      <c r="I207" s="2">
        <f t="shared" si="15"/>
        <v>2</v>
      </c>
    </row>
    <row r="208" spans="1:9" x14ac:dyDescent="0.25">
      <c r="A208" s="13" t="s">
        <v>77</v>
      </c>
      <c r="B208" s="2" t="s">
        <v>10</v>
      </c>
      <c r="C208" s="23" t="s">
        <v>11</v>
      </c>
      <c r="D208" s="15">
        <v>5200</v>
      </c>
      <c r="E208" s="16"/>
      <c r="F208" s="3">
        <f t="shared" si="16"/>
        <v>5200</v>
      </c>
      <c r="G208" s="2">
        <f t="shared" si="17"/>
        <v>2026</v>
      </c>
      <c r="H208" s="2">
        <f t="shared" si="18"/>
        <v>4</v>
      </c>
      <c r="I208" s="2">
        <f t="shared" si="15"/>
        <v>2</v>
      </c>
    </row>
    <row r="209" spans="1:9" x14ac:dyDescent="0.25">
      <c r="A209" s="13" t="s">
        <v>77</v>
      </c>
      <c r="B209" s="2" t="s">
        <v>10</v>
      </c>
      <c r="C209" s="18" t="s">
        <v>11</v>
      </c>
      <c r="D209" s="15">
        <v>28538</v>
      </c>
      <c r="E209" s="16"/>
      <c r="F209" s="3">
        <f t="shared" si="16"/>
        <v>28538</v>
      </c>
      <c r="G209" s="2">
        <f t="shared" si="17"/>
        <v>2026</v>
      </c>
      <c r="H209" s="2">
        <f t="shared" si="18"/>
        <v>4</v>
      </c>
      <c r="I209" s="2">
        <f t="shared" si="15"/>
        <v>2</v>
      </c>
    </row>
    <row r="210" spans="1:9" x14ac:dyDescent="0.25">
      <c r="A210" s="13" t="s">
        <v>77</v>
      </c>
      <c r="B210" s="2" t="s">
        <v>10</v>
      </c>
      <c r="C210" s="23" t="s">
        <v>12</v>
      </c>
      <c r="D210" s="15">
        <v>40686.61</v>
      </c>
      <c r="E210" s="16"/>
      <c r="F210" s="3">
        <f t="shared" si="16"/>
        <v>40686.61</v>
      </c>
      <c r="G210" s="2">
        <f t="shared" si="17"/>
        <v>2026</v>
      </c>
      <c r="H210" s="2">
        <f t="shared" si="18"/>
        <v>4</v>
      </c>
      <c r="I210" s="2">
        <f t="shared" si="15"/>
        <v>2</v>
      </c>
    </row>
    <row r="211" spans="1:9" x14ac:dyDescent="0.25">
      <c r="A211" s="13" t="s">
        <v>77</v>
      </c>
      <c r="B211" s="2" t="s">
        <v>10</v>
      </c>
      <c r="C211" s="21" t="s">
        <v>11</v>
      </c>
      <c r="D211" s="15">
        <v>95085.5</v>
      </c>
      <c r="E211" s="16"/>
      <c r="F211" s="3">
        <f t="shared" si="16"/>
        <v>95085.5</v>
      </c>
      <c r="G211" s="2">
        <f t="shared" si="17"/>
        <v>2026</v>
      </c>
      <c r="H211" s="2">
        <f t="shared" si="18"/>
        <v>4</v>
      </c>
      <c r="I211" s="2">
        <f t="shared" si="15"/>
        <v>2</v>
      </c>
    </row>
    <row r="212" spans="1:9" x14ac:dyDescent="0.25">
      <c r="A212" s="13" t="s">
        <v>77</v>
      </c>
      <c r="B212" s="2" t="s">
        <v>10</v>
      </c>
      <c r="C212" s="21" t="s">
        <v>13</v>
      </c>
      <c r="D212" s="15">
        <v>8535.52</v>
      </c>
      <c r="E212" s="16"/>
      <c r="F212" s="3">
        <f t="shared" si="16"/>
        <v>8535.52</v>
      </c>
      <c r="G212" s="2">
        <f t="shared" si="17"/>
        <v>2026</v>
      </c>
      <c r="H212" s="2">
        <f t="shared" si="18"/>
        <v>4</v>
      </c>
      <c r="I212" s="2">
        <f t="shared" si="15"/>
        <v>2</v>
      </c>
    </row>
    <row r="213" spans="1:9" x14ac:dyDescent="0.25">
      <c r="A213" s="13" t="s">
        <v>77</v>
      </c>
      <c r="B213" s="2" t="s">
        <v>10</v>
      </c>
      <c r="C213" s="21" t="s">
        <v>13</v>
      </c>
      <c r="D213" s="15">
        <v>15827.47</v>
      </c>
      <c r="E213" s="16"/>
      <c r="F213" s="3">
        <f t="shared" si="16"/>
        <v>15827.47</v>
      </c>
      <c r="G213" s="2">
        <f t="shared" si="17"/>
        <v>2026</v>
      </c>
      <c r="H213" s="2">
        <f t="shared" si="18"/>
        <v>4</v>
      </c>
      <c r="I213" s="2">
        <f t="shared" si="15"/>
        <v>2</v>
      </c>
    </row>
    <row r="214" spans="1:9" x14ac:dyDescent="0.25">
      <c r="A214" s="13" t="s">
        <v>77</v>
      </c>
      <c r="B214" s="2" t="s">
        <v>10</v>
      </c>
      <c r="C214" s="21" t="s">
        <v>13</v>
      </c>
      <c r="D214" s="17">
        <v>9862.42</v>
      </c>
      <c r="E214" s="16"/>
      <c r="F214" s="3">
        <f t="shared" si="16"/>
        <v>9862.42</v>
      </c>
      <c r="G214" s="2">
        <f t="shared" si="17"/>
        <v>2026</v>
      </c>
      <c r="H214" s="2">
        <f t="shared" si="18"/>
        <v>4</v>
      </c>
      <c r="I214" s="2">
        <f t="shared" si="15"/>
        <v>2</v>
      </c>
    </row>
    <row r="215" spans="1:9" x14ac:dyDescent="0.25">
      <c r="A215" s="13" t="s">
        <v>77</v>
      </c>
      <c r="B215" s="2" t="s">
        <v>10</v>
      </c>
      <c r="C215" s="21" t="s">
        <v>13</v>
      </c>
      <c r="D215" s="17">
        <v>648</v>
      </c>
      <c r="E215" s="16"/>
      <c r="F215" s="3">
        <f t="shared" si="16"/>
        <v>648</v>
      </c>
      <c r="G215" s="2">
        <f t="shared" si="17"/>
        <v>2026</v>
      </c>
      <c r="H215" s="2">
        <f t="shared" si="18"/>
        <v>4</v>
      </c>
      <c r="I215" s="2">
        <f t="shared" si="15"/>
        <v>2</v>
      </c>
    </row>
    <row r="216" spans="1:9" x14ac:dyDescent="0.25">
      <c r="A216" s="13" t="s">
        <v>77</v>
      </c>
      <c r="B216" s="2" t="s">
        <v>10</v>
      </c>
      <c r="C216" s="21" t="s">
        <v>13</v>
      </c>
      <c r="D216" s="15">
        <v>555</v>
      </c>
      <c r="E216" s="16"/>
      <c r="F216" s="3">
        <f t="shared" si="16"/>
        <v>555</v>
      </c>
      <c r="G216" s="2">
        <f t="shared" si="17"/>
        <v>2026</v>
      </c>
      <c r="H216" s="2">
        <f t="shared" si="18"/>
        <v>4</v>
      </c>
      <c r="I216" s="2">
        <f t="shared" si="15"/>
        <v>2</v>
      </c>
    </row>
    <row r="217" spans="1:9" x14ac:dyDescent="0.25">
      <c r="A217" s="13" t="s">
        <v>77</v>
      </c>
      <c r="B217" s="2" t="s">
        <v>10</v>
      </c>
      <c r="C217" s="21" t="s">
        <v>13</v>
      </c>
      <c r="D217" s="15">
        <v>18358.5</v>
      </c>
      <c r="E217" s="16"/>
      <c r="F217" s="3">
        <f t="shared" si="16"/>
        <v>18358.5</v>
      </c>
      <c r="G217" s="2">
        <f t="shared" si="17"/>
        <v>2026</v>
      </c>
      <c r="H217" s="2">
        <f t="shared" si="18"/>
        <v>4</v>
      </c>
      <c r="I217" s="2">
        <f t="shared" si="15"/>
        <v>2</v>
      </c>
    </row>
    <row r="218" spans="1:9" x14ac:dyDescent="0.25">
      <c r="A218" s="13" t="s">
        <v>77</v>
      </c>
      <c r="B218" s="2" t="s">
        <v>10</v>
      </c>
      <c r="C218" s="21" t="s">
        <v>13</v>
      </c>
      <c r="D218" s="15">
        <v>2730</v>
      </c>
      <c r="E218" s="16"/>
      <c r="F218" s="3">
        <f t="shared" si="16"/>
        <v>2730</v>
      </c>
      <c r="G218" s="2">
        <f t="shared" si="17"/>
        <v>2026</v>
      </c>
      <c r="H218" s="2">
        <f t="shared" si="18"/>
        <v>4</v>
      </c>
      <c r="I218" s="2">
        <f t="shared" si="15"/>
        <v>2</v>
      </c>
    </row>
    <row r="219" spans="1:9" x14ac:dyDescent="0.25">
      <c r="A219" s="13" t="s">
        <v>77</v>
      </c>
      <c r="B219" s="2" t="s">
        <v>10</v>
      </c>
      <c r="C219" s="23" t="s">
        <v>13</v>
      </c>
      <c r="D219" s="15">
        <v>3060</v>
      </c>
      <c r="E219" s="16"/>
      <c r="F219" s="3">
        <f t="shared" si="16"/>
        <v>3060</v>
      </c>
      <c r="G219" s="2">
        <f t="shared" si="17"/>
        <v>2026</v>
      </c>
      <c r="H219" s="2">
        <f t="shared" si="18"/>
        <v>4</v>
      </c>
      <c r="I219" s="2">
        <f t="shared" si="15"/>
        <v>2</v>
      </c>
    </row>
    <row r="220" spans="1:9" x14ac:dyDescent="0.25">
      <c r="A220" s="13" t="s">
        <v>77</v>
      </c>
      <c r="B220" s="2" t="s">
        <v>10</v>
      </c>
      <c r="C220" s="23" t="s">
        <v>11</v>
      </c>
      <c r="D220" s="15">
        <v>56903.5</v>
      </c>
      <c r="E220" s="16"/>
      <c r="F220" s="3">
        <f t="shared" si="16"/>
        <v>56903.5</v>
      </c>
      <c r="G220" s="2">
        <f t="shared" si="17"/>
        <v>2026</v>
      </c>
      <c r="H220" s="2">
        <f t="shared" si="18"/>
        <v>4</v>
      </c>
      <c r="I220" s="2">
        <f t="shared" si="15"/>
        <v>2</v>
      </c>
    </row>
    <row r="221" spans="1:9" x14ac:dyDescent="0.25">
      <c r="A221" s="13" t="s">
        <v>77</v>
      </c>
      <c r="B221" s="2" t="s">
        <v>10</v>
      </c>
      <c r="C221" s="23" t="s">
        <v>11</v>
      </c>
      <c r="D221" s="15">
        <v>105516.5</v>
      </c>
      <c r="E221" s="16"/>
      <c r="F221" s="3">
        <f t="shared" si="16"/>
        <v>105516.5</v>
      </c>
      <c r="G221" s="2">
        <f t="shared" si="17"/>
        <v>2026</v>
      </c>
      <c r="H221" s="2">
        <f t="shared" si="18"/>
        <v>4</v>
      </c>
      <c r="I221" s="2">
        <f t="shared" si="15"/>
        <v>2</v>
      </c>
    </row>
    <row r="222" spans="1:9" x14ac:dyDescent="0.25">
      <c r="A222" s="13" t="s">
        <v>77</v>
      </c>
      <c r="B222" s="2" t="s">
        <v>10</v>
      </c>
      <c r="C222" s="23" t="s">
        <v>11</v>
      </c>
      <c r="D222" s="15">
        <v>65749.5</v>
      </c>
      <c r="E222" s="16"/>
      <c r="F222" s="3">
        <f t="shared" si="16"/>
        <v>65749.5</v>
      </c>
      <c r="G222" s="2">
        <f t="shared" si="17"/>
        <v>2026</v>
      </c>
      <c r="H222" s="2">
        <f t="shared" si="18"/>
        <v>4</v>
      </c>
      <c r="I222" s="2">
        <f t="shared" si="15"/>
        <v>2</v>
      </c>
    </row>
    <row r="223" spans="1:9" x14ac:dyDescent="0.25">
      <c r="A223" s="13" t="s">
        <v>77</v>
      </c>
      <c r="B223" s="2" t="s">
        <v>10</v>
      </c>
      <c r="C223" s="23" t="s">
        <v>11</v>
      </c>
      <c r="D223" s="15">
        <v>4320</v>
      </c>
      <c r="E223" s="16"/>
      <c r="F223" s="3">
        <f t="shared" si="16"/>
        <v>4320</v>
      </c>
      <c r="G223" s="2">
        <f t="shared" si="17"/>
        <v>2026</v>
      </c>
      <c r="H223" s="2">
        <f t="shared" si="18"/>
        <v>4</v>
      </c>
      <c r="I223" s="2">
        <f t="shared" si="15"/>
        <v>2</v>
      </c>
    </row>
    <row r="224" spans="1:9" x14ac:dyDescent="0.25">
      <c r="A224" s="13" t="s">
        <v>77</v>
      </c>
      <c r="B224" s="2" t="s">
        <v>10</v>
      </c>
      <c r="C224" s="23" t="s">
        <v>11</v>
      </c>
      <c r="D224" s="15">
        <v>3700</v>
      </c>
      <c r="E224" s="16"/>
      <c r="F224" s="3">
        <f t="shared" si="16"/>
        <v>3700</v>
      </c>
      <c r="G224" s="2">
        <f t="shared" si="17"/>
        <v>2026</v>
      </c>
      <c r="H224" s="2">
        <f t="shared" si="18"/>
        <v>4</v>
      </c>
      <c r="I224" s="2">
        <f t="shared" si="15"/>
        <v>2</v>
      </c>
    </row>
    <row r="225" spans="1:9" x14ac:dyDescent="0.25">
      <c r="A225" s="13" t="s">
        <v>77</v>
      </c>
      <c r="B225" s="2" t="s">
        <v>10</v>
      </c>
      <c r="C225" s="23" t="s">
        <v>11</v>
      </c>
      <c r="D225" s="15">
        <v>122390</v>
      </c>
      <c r="E225" s="16"/>
      <c r="F225" s="3">
        <f t="shared" si="16"/>
        <v>122390</v>
      </c>
      <c r="G225" s="2">
        <f t="shared" si="17"/>
        <v>2026</v>
      </c>
      <c r="H225" s="2">
        <f t="shared" si="18"/>
        <v>4</v>
      </c>
      <c r="I225" s="2">
        <f t="shared" si="15"/>
        <v>2</v>
      </c>
    </row>
    <row r="226" spans="1:9" x14ac:dyDescent="0.25">
      <c r="A226" s="13" t="s">
        <v>77</v>
      </c>
      <c r="B226" s="2" t="s">
        <v>10</v>
      </c>
      <c r="C226" s="23" t="s">
        <v>11</v>
      </c>
      <c r="D226" s="15">
        <v>18200</v>
      </c>
      <c r="E226" s="16"/>
      <c r="F226" s="3">
        <f t="shared" si="16"/>
        <v>18200</v>
      </c>
      <c r="G226" s="2">
        <f t="shared" si="17"/>
        <v>2026</v>
      </c>
      <c r="H226" s="2">
        <f t="shared" si="18"/>
        <v>4</v>
      </c>
      <c r="I226" s="2">
        <f t="shared" si="15"/>
        <v>2</v>
      </c>
    </row>
    <row r="227" spans="1:9" x14ac:dyDescent="0.25">
      <c r="A227" s="13" t="s">
        <v>77</v>
      </c>
      <c r="B227" s="2" t="s">
        <v>10</v>
      </c>
      <c r="C227" s="18" t="s">
        <v>11</v>
      </c>
      <c r="D227" s="16">
        <v>20400</v>
      </c>
      <c r="E227" s="15"/>
      <c r="F227" s="3">
        <f t="shared" si="16"/>
        <v>20400</v>
      </c>
      <c r="G227" s="2">
        <f t="shared" si="17"/>
        <v>2026</v>
      </c>
      <c r="H227" s="2">
        <f t="shared" si="18"/>
        <v>4</v>
      </c>
      <c r="I227" s="2">
        <f t="shared" si="15"/>
        <v>2</v>
      </c>
    </row>
    <row r="228" spans="1:9" x14ac:dyDescent="0.25">
      <c r="A228" s="13" t="s">
        <v>77</v>
      </c>
      <c r="B228" s="2" t="s">
        <v>14</v>
      </c>
      <c r="C228" s="21" t="s">
        <v>18</v>
      </c>
      <c r="D228" s="16"/>
      <c r="E228" s="15">
        <v>10849</v>
      </c>
      <c r="F228" s="3">
        <f t="shared" si="16"/>
        <v>-10849</v>
      </c>
      <c r="G228" s="2">
        <f t="shared" si="17"/>
        <v>2026</v>
      </c>
      <c r="H228" s="2">
        <f t="shared" si="18"/>
        <v>4</v>
      </c>
      <c r="I228" s="2">
        <f t="shared" si="15"/>
        <v>2</v>
      </c>
    </row>
    <row r="229" spans="1:9" x14ac:dyDescent="0.25">
      <c r="A229" s="13" t="s">
        <v>77</v>
      </c>
      <c r="B229" s="2" t="s">
        <v>14</v>
      </c>
      <c r="C229" s="18" t="s">
        <v>13</v>
      </c>
      <c r="D229" s="16"/>
      <c r="E229" s="15">
        <v>8535.52</v>
      </c>
      <c r="F229" s="3">
        <f t="shared" si="16"/>
        <v>-8535.52</v>
      </c>
      <c r="G229" s="2">
        <f t="shared" si="17"/>
        <v>2026</v>
      </c>
      <c r="H229" s="2">
        <f t="shared" si="18"/>
        <v>4</v>
      </c>
      <c r="I229" s="2">
        <f t="shared" si="15"/>
        <v>2</v>
      </c>
    </row>
    <row r="230" spans="1:9" x14ac:dyDescent="0.25">
      <c r="A230" s="13" t="s">
        <v>77</v>
      </c>
      <c r="B230" s="2" t="s">
        <v>14</v>
      </c>
      <c r="C230" s="18" t="s">
        <v>20</v>
      </c>
      <c r="D230" s="16"/>
      <c r="E230" s="15">
        <v>153100</v>
      </c>
      <c r="F230" s="3">
        <f t="shared" si="16"/>
        <v>-153100</v>
      </c>
      <c r="G230" s="2">
        <f t="shared" si="17"/>
        <v>2026</v>
      </c>
      <c r="H230" s="2">
        <f t="shared" si="18"/>
        <v>4</v>
      </c>
      <c r="I230" s="2">
        <f t="shared" si="15"/>
        <v>2</v>
      </c>
    </row>
    <row r="231" spans="1:9" x14ac:dyDescent="0.25">
      <c r="A231" s="13" t="s">
        <v>77</v>
      </c>
      <c r="B231" s="2" t="s">
        <v>14</v>
      </c>
      <c r="C231" s="26" t="s">
        <v>20</v>
      </c>
      <c r="D231" s="16"/>
      <c r="E231" s="15">
        <v>258204</v>
      </c>
      <c r="F231" s="3">
        <f t="shared" si="16"/>
        <v>-258204</v>
      </c>
      <c r="G231" s="2">
        <f t="shared" si="17"/>
        <v>2026</v>
      </c>
      <c r="H231" s="2">
        <f t="shared" si="18"/>
        <v>4</v>
      </c>
      <c r="I231" s="2">
        <f t="shared" si="15"/>
        <v>2</v>
      </c>
    </row>
    <row r="232" spans="1:9" x14ac:dyDescent="0.25">
      <c r="A232" s="13" t="s">
        <v>77</v>
      </c>
      <c r="B232" s="2" t="s">
        <v>14</v>
      </c>
      <c r="C232" s="26" t="s">
        <v>101</v>
      </c>
      <c r="D232" s="16"/>
      <c r="E232" s="15">
        <v>19350.5</v>
      </c>
      <c r="F232" s="3">
        <f t="shared" si="16"/>
        <v>-19350.5</v>
      </c>
      <c r="G232" s="2">
        <f t="shared" si="17"/>
        <v>2026</v>
      </c>
      <c r="H232" s="2">
        <f t="shared" si="18"/>
        <v>4</v>
      </c>
      <c r="I232" s="2">
        <f t="shared" si="15"/>
        <v>2</v>
      </c>
    </row>
    <row r="233" spans="1:9" x14ac:dyDescent="0.25">
      <c r="A233" s="13" t="s">
        <v>77</v>
      </c>
      <c r="B233" s="2" t="s">
        <v>14</v>
      </c>
      <c r="C233" s="21" t="s">
        <v>13</v>
      </c>
      <c r="D233" s="16"/>
      <c r="E233" s="15">
        <v>15827.47</v>
      </c>
      <c r="F233" s="3">
        <f t="shared" si="16"/>
        <v>-15827.47</v>
      </c>
      <c r="G233" s="2">
        <f t="shared" si="17"/>
        <v>2026</v>
      </c>
      <c r="H233" s="2">
        <f t="shared" si="18"/>
        <v>4</v>
      </c>
      <c r="I233" s="2">
        <f t="shared" si="15"/>
        <v>2</v>
      </c>
    </row>
    <row r="234" spans="1:9" x14ac:dyDescent="0.25">
      <c r="A234" s="13" t="s">
        <v>77</v>
      </c>
      <c r="B234" s="2" t="s">
        <v>14</v>
      </c>
      <c r="C234" s="21" t="s">
        <v>13</v>
      </c>
      <c r="D234" s="16"/>
      <c r="E234" s="17">
        <v>9862.42</v>
      </c>
      <c r="F234" s="3">
        <f t="shared" si="16"/>
        <v>-9862.42</v>
      </c>
      <c r="G234" s="2">
        <f t="shared" si="17"/>
        <v>2026</v>
      </c>
      <c r="H234" s="2">
        <f t="shared" si="18"/>
        <v>4</v>
      </c>
      <c r="I234" s="2">
        <f t="shared" si="15"/>
        <v>2</v>
      </c>
    </row>
    <row r="235" spans="1:9" x14ac:dyDescent="0.25">
      <c r="A235" s="13" t="s">
        <v>77</v>
      </c>
      <c r="B235" s="2" t="s">
        <v>14</v>
      </c>
      <c r="C235" s="21" t="s">
        <v>13</v>
      </c>
      <c r="D235" s="16"/>
      <c r="E235" s="17">
        <v>648</v>
      </c>
      <c r="F235" s="3">
        <f t="shared" si="16"/>
        <v>-648</v>
      </c>
      <c r="G235" s="2">
        <f t="shared" si="17"/>
        <v>2026</v>
      </c>
      <c r="H235" s="2">
        <f t="shared" si="18"/>
        <v>4</v>
      </c>
      <c r="I235" s="2">
        <f t="shared" si="15"/>
        <v>2</v>
      </c>
    </row>
    <row r="236" spans="1:9" x14ac:dyDescent="0.25">
      <c r="A236" s="13" t="s">
        <v>77</v>
      </c>
      <c r="B236" s="2" t="s">
        <v>14</v>
      </c>
      <c r="C236" s="21" t="s">
        <v>13</v>
      </c>
      <c r="D236" s="16"/>
      <c r="E236" s="15">
        <v>555</v>
      </c>
      <c r="F236" s="3">
        <f t="shared" si="16"/>
        <v>-555</v>
      </c>
      <c r="G236" s="2">
        <f t="shared" si="17"/>
        <v>2026</v>
      </c>
      <c r="H236" s="2">
        <f t="shared" si="18"/>
        <v>4</v>
      </c>
      <c r="I236" s="2">
        <f t="shared" si="15"/>
        <v>2</v>
      </c>
    </row>
    <row r="237" spans="1:9" x14ac:dyDescent="0.25">
      <c r="A237" s="13" t="s">
        <v>77</v>
      </c>
      <c r="B237" s="2" t="s">
        <v>14</v>
      </c>
      <c r="C237" s="21" t="s">
        <v>13</v>
      </c>
      <c r="D237" s="16"/>
      <c r="E237" s="15">
        <v>18358.5</v>
      </c>
      <c r="F237" s="3">
        <f t="shared" si="16"/>
        <v>-18358.5</v>
      </c>
      <c r="G237" s="2">
        <f t="shared" si="17"/>
        <v>2026</v>
      </c>
      <c r="H237" s="2">
        <f t="shared" si="18"/>
        <v>4</v>
      </c>
      <c r="I237" s="2">
        <f t="shared" si="15"/>
        <v>2</v>
      </c>
    </row>
    <row r="238" spans="1:9" x14ac:dyDescent="0.25">
      <c r="A238" s="13" t="s">
        <v>77</v>
      </c>
      <c r="B238" s="2" t="s">
        <v>14</v>
      </c>
      <c r="C238" s="21" t="s">
        <v>13</v>
      </c>
      <c r="D238" s="16"/>
      <c r="E238" s="15">
        <v>2730</v>
      </c>
      <c r="F238" s="3">
        <f t="shared" si="16"/>
        <v>-2730</v>
      </c>
      <c r="G238" s="2">
        <f t="shared" si="17"/>
        <v>2026</v>
      </c>
      <c r="H238" s="2">
        <f t="shared" si="18"/>
        <v>4</v>
      </c>
      <c r="I238" s="2">
        <f t="shared" si="15"/>
        <v>2</v>
      </c>
    </row>
    <row r="239" spans="1:9" x14ac:dyDescent="0.25">
      <c r="A239" s="13" t="s">
        <v>77</v>
      </c>
      <c r="B239" s="2" t="s">
        <v>14</v>
      </c>
      <c r="C239" s="18" t="s">
        <v>13</v>
      </c>
      <c r="D239" s="16"/>
      <c r="E239" s="15">
        <v>3060</v>
      </c>
      <c r="F239" s="3">
        <f t="shared" si="16"/>
        <v>-3060</v>
      </c>
      <c r="G239" s="2">
        <f t="shared" si="17"/>
        <v>2026</v>
      </c>
      <c r="H239" s="2">
        <f t="shared" si="18"/>
        <v>4</v>
      </c>
      <c r="I239" s="2">
        <f t="shared" si="15"/>
        <v>2</v>
      </c>
    </row>
    <row r="240" spans="1:9" x14ac:dyDescent="0.25">
      <c r="A240" s="13" t="s">
        <v>77</v>
      </c>
      <c r="B240" s="2" t="s">
        <v>14</v>
      </c>
      <c r="C240" s="21" t="s">
        <v>27</v>
      </c>
      <c r="D240" s="15"/>
      <c r="E240" s="16">
        <v>33800</v>
      </c>
      <c r="F240" s="3">
        <f t="shared" si="16"/>
        <v>-33800</v>
      </c>
      <c r="G240" s="2">
        <f t="shared" si="17"/>
        <v>2026</v>
      </c>
      <c r="H240" s="2">
        <f t="shared" si="18"/>
        <v>4</v>
      </c>
      <c r="I240" s="2">
        <f t="shared" si="15"/>
        <v>2</v>
      </c>
    </row>
    <row r="241" spans="1:9" x14ac:dyDescent="0.25">
      <c r="A241" s="13" t="s">
        <v>77</v>
      </c>
      <c r="B241" s="2" t="s">
        <v>14</v>
      </c>
      <c r="C241" s="21" t="s">
        <v>36</v>
      </c>
      <c r="D241" s="15"/>
      <c r="E241" s="16">
        <v>1945</v>
      </c>
      <c r="F241" s="3">
        <f t="shared" si="16"/>
        <v>-1945</v>
      </c>
      <c r="G241" s="2">
        <f t="shared" si="17"/>
        <v>2026</v>
      </c>
      <c r="H241" s="2">
        <f t="shared" si="18"/>
        <v>4</v>
      </c>
      <c r="I241" s="2">
        <f t="shared" si="15"/>
        <v>2</v>
      </c>
    </row>
    <row r="242" spans="1:9" x14ac:dyDescent="0.25">
      <c r="A242" s="13" t="s">
        <v>78</v>
      </c>
      <c r="B242" s="2" t="s">
        <v>10</v>
      </c>
      <c r="C242" s="21" t="s">
        <v>13</v>
      </c>
      <c r="D242" s="16">
        <v>6185.76</v>
      </c>
      <c r="E242" s="15"/>
      <c r="F242" s="3">
        <f t="shared" si="16"/>
        <v>6185.76</v>
      </c>
      <c r="G242" s="2">
        <f t="shared" si="17"/>
        <v>2026</v>
      </c>
      <c r="H242" s="2">
        <f t="shared" si="18"/>
        <v>4</v>
      </c>
      <c r="I242" s="2">
        <f t="shared" si="15"/>
        <v>2</v>
      </c>
    </row>
    <row r="243" spans="1:9" x14ac:dyDescent="0.25">
      <c r="A243" s="13" t="s">
        <v>78</v>
      </c>
      <c r="B243" s="2" t="s">
        <v>10</v>
      </c>
      <c r="C243" s="18" t="s">
        <v>11</v>
      </c>
      <c r="D243" s="16">
        <v>41238.400000000001</v>
      </c>
      <c r="E243" s="17"/>
      <c r="F243" s="3">
        <f t="shared" si="16"/>
        <v>41238.400000000001</v>
      </c>
      <c r="G243" s="2">
        <f t="shared" si="17"/>
        <v>2026</v>
      </c>
      <c r="H243" s="2">
        <f t="shared" si="18"/>
        <v>4</v>
      </c>
      <c r="I243" s="2">
        <f t="shared" si="15"/>
        <v>2</v>
      </c>
    </row>
    <row r="244" spans="1:9" x14ac:dyDescent="0.25">
      <c r="A244" s="13" t="s">
        <v>78</v>
      </c>
      <c r="B244" s="2" t="s">
        <v>14</v>
      </c>
      <c r="C244" s="18" t="s">
        <v>13</v>
      </c>
      <c r="D244" s="15"/>
      <c r="E244" s="16">
        <v>6185.76</v>
      </c>
      <c r="F244" s="3">
        <f t="shared" si="16"/>
        <v>-6185.76</v>
      </c>
      <c r="G244" s="2">
        <f t="shared" si="17"/>
        <v>2026</v>
      </c>
      <c r="H244" s="2">
        <f t="shared" si="18"/>
        <v>4</v>
      </c>
      <c r="I244" s="2">
        <f t="shared" si="15"/>
        <v>2</v>
      </c>
    </row>
    <row r="245" spans="1:9" x14ac:dyDescent="0.25">
      <c r="A245" s="13" t="s">
        <v>79</v>
      </c>
      <c r="B245" s="2" t="s">
        <v>14</v>
      </c>
      <c r="C245" s="21" t="s">
        <v>18</v>
      </c>
      <c r="D245" s="15"/>
      <c r="E245" s="16">
        <v>864</v>
      </c>
      <c r="F245" s="3">
        <f t="shared" si="16"/>
        <v>-864</v>
      </c>
      <c r="G245" s="2">
        <f t="shared" si="17"/>
        <v>2026</v>
      </c>
      <c r="H245" s="2">
        <f t="shared" si="18"/>
        <v>4</v>
      </c>
      <c r="I245" s="2">
        <f t="shared" si="15"/>
        <v>2</v>
      </c>
    </row>
    <row r="246" spans="1:9" x14ac:dyDescent="0.25">
      <c r="A246" s="13" t="s">
        <v>80</v>
      </c>
      <c r="B246" s="2" t="s">
        <v>10</v>
      </c>
      <c r="C246" s="23" t="s">
        <v>12</v>
      </c>
      <c r="D246" s="15">
        <v>7110.8</v>
      </c>
      <c r="E246" s="16"/>
      <c r="F246" s="3">
        <f t="shared" si="16"/>
        <v>7110.8</v>
      </c>
      <c r="G246" s="2">
        <f t="shared" si="17"/>
        <v>2026</v>
      </c>
      <c r="H246" s="2">
        <f t="shared" si="18"/>
        <v>4</v>
      </c>
      <c r="I246" s="2">
        <f t="shared" si="15"/>
        <v>2</v>
      </c>
    </row>
    <row r="247" spans="1:9" x14ac:dyDescent="0.25">
      <c r="A247" s="13" t="s">
        <v>80</v>
      </c>
      <c r="B247" s="2" t="s">
        <v>10</v>
      </c>
      <c r="C247" s="23" t="s">
        <v>13</v>
      </c>
      <c r="D247" s="15">
        <v>200000</v>
      </c>
      <c r="E247" s="16"/>
      <c r="F247" s="3">
        <f t="shared" si="16"/>
        <v>200000</v>
      </c>
      <c r="G247" s="2">
        <f t="shared" si="17"/>
        <v>2026</v>
      </c>
      <c r="H247" s="2">
        <f t="shared" si="18"/>
        <v>4</v>
      </c>
      <c r="I247" s="2">
        <f t="shared" si="15"/>
        <v>2</v>
      </c>
    </row>
    <row r="248" spans="1:9" x14ac:dyDescent="0.25">
      <c r="A248" s="13" t="s">
        <v>80</v>
      </c>
      <c r="B248" s="2" t="s">
        <v>10</v>
      </c>
      <c r="C248" s="21" t="s">
        <v>11</v>
      </c>
      <c r="D248" s="15">
        <v>45740</v>
      </c>
      <c r="E248" s="16"/>
      <c r="F248" s="3">
        <f t="shared" si="16"/>
        <v>45740</v>
      </c>
      <c r="G248" s="2">
        <f t="shared" si="17"/>
        <v>2026</v>
      </c>
      <c r="H248" s="2">
        <f t="shared" si="18"/>
        <v>4</v>
      </c>
      <c r="I248" s="2">
        <f t="shared" si="15"/>
        <v>2</v>
      </c>
    </row>
    <row r="249" spans="1:9" x14ac:dyDescent="0.25">
      <c r="A249" s="13" t="s">
        <v>80</v>
      </c>
      <c r="B249" s="2" t="s">
        <v>10</v>
      </c>
      <c r="C249" s="21" t="s">
        <v>11</v>
      </c>
      <c r="D249" s="17">
        <v>2636.2</v>
      </c>
      <c r="E249" s="16"/>
      <c r="F249" s="3">
        <f t="shared" si="16"/>
        <v>2636.2</v>
      </c>
      <c r="G249" s="2">
        <f t="shared" si="17"/>
        <v>2026</v>
      </c>
      <c r="H249" s="2">
        <f t="shared" si="18"/>
        <v>4</v>
      </c>
      <c r="I249" s="2">
        <f t="shared" si="15"/>
        <v>2</v>
      </c>
    </row>
    <row r="250" spans="1:9" x14ac:dyDescent="0.25">
      <c r="A250" s="13" t="s">
        <v>80</v>
      </c>
      <c r="B250" s="2" t="s">
        <v>10</v>
      </c>
      <c r="C250" s="18" t="s">
        <v>13</v>
      </c>
      <c r="D250" s="16">
        <v>6861</v>
      </c>
      <c r="E250" s="15"/>
      <c r="F250" s="3">
        <f t="shared" si="16"/>
        <v>6861</v>
      </c>
      <c r="G250" s="2">
        <f t="shared" si="17"/>
        <v>2026</v>
      </c>
      <c r="H250" s="2">
        <f t="shared" si="18"/>
        <v>4</v>
      </c>
      <c r="I250" s="2">
        <f t="shared" si="15"/>
        <v>2</v>
      </c>
    </row>
    <row r="251" spans="1:9" x14ac:dyDescent="0.25">
      <c r="A251" s="13" t="s">
        <v>80</v>
      </c>
      <c r="B251" s="2" t="s">
        <v>10</v>
      </c>
      <c r="C251" s="21" t="s">
        <v>13</v>
      </c>
      <c r="D251" s="16">
        <v>395.43</v>
      </c>
      <c r="E251" s="15"/>
      <c r="F251" s="3">
        <f t="shared" si="16"/>
        <v>395.43</v>
      </c>
      <c r="G251" s="2">
        <f t="shared" si="17"/>
        <v>2026</v>
      </c>
      <c r="H251" s="2">
        <f t="shared" si="18"/>
        <v>4</v>
      </c>
      <c r="I251" s="2">
        <f t="shared" si="15"/>
        <v>2</v>
      </c>
    </row>
    <row r="252" spans="1:9" x14ac:dyDescent="0.25">
      <c r="A252" s="13" t="s">
        <v>80</v>
      </c>
      <c r="B252" s="2" t="s">
        <v>14</v>
      </c>
      <c r="C252" s="18" t="s">
        <v>24</v>
      </c>
      <c r="D252" s="16"/>
      <c r="E252" s="17">
        <v>1190</v>
      </c>
      <c r="F252" s="3">
        <f t="shared" si="16"/>
        <v>-1190</v>
      </c>
      <c r="G252" s="2">
        <f t="shared" si="17"/>
        <v>2026</v>
      </c>
      <c r="H252" s="2">
        <f t="shared" si="18"/>
        <v>4</v>
      </c>
      <c r="I252" s="2">
        <f t="shared" si="15"/>
        <v>2</v>
      </c>
    </row>
    <row r="253" spans="1:9" x14ac:dyDescent="0.25">
      <c r="A253" s="13" t="s">
        <v>80</v>
      </c>
      <c r="B253" s="2" t="s">
        <v>14</v>
      </c>
      <c r="C253" s="21" t="s">
        <v>35</v>
      </c>
      <c r="D253" s="16"/>
      <c r="E253" s="15">
        <v>77107</v>
      </c>
      <c r="F253" s="3">
        <f t="shared" si="16"/>
        <v>-77107</v>
      </c>
      <c r="G253" s="2">
        <f t="shared" si="17"/>
        <v>2026</v>
      </c>
      <c r="H253" s="2">
        <f t="shared" si="18"/>
        <v>4</v>
      </c>
      <c r="I253" s="2">
        <f t="shared" si="15"/>
        <v>2</v>
      </c>
    </row>
    <row r="254" spans="1:9" x14ac:dyDescent="0.25">
      <c r="A254" s="13" t="s">
        <v>80</v>
      </c>
      <c r="B254" s="2" t="s">
        <v>14</v>
      </c>
      <c r="C254" s="18" t="s">
        <v>17</v>
      </c>
      <c r="D254" s="16"/>
      <c r="E254" s="15">
        <v>3.38</v>
      </c>
      <c r="F254" s="3">
        <f t="shared" si="16"/>
        <v>-3.38</v>
      </c>
      <c r="G254" s="2">
        <f t="shared" si="17"/>
        <v>2026</v>
      </c>
      <c r="H254" s="2">
        <f t="shared" si="18"/>
        <v>4</v>
      </c>
      <c r="I254" s="2">
        <f t="shared" si="15"/>
        <v>2</v>
      </c>
    </row>
    <row r="255" spans="1:9" x14ac:dyDescent="0.25">
      <c r="A255" s="13" t="s">
        <v>80</v>
      </c>
      <c r="B255" s="2" t="s">
        <v>14</v>
      </c>
      <c r="C255" s="25" t="s">
        <v>34</v>
      </c>
      <c r="D255" s="16"/>
      <c r="E255" s="15">
        <v>442938</v>
      </c>
      <c r="F255" s="3">
        <f t="shared" si="16"/>
        <v>-442938</v>
      </c>
      <c r="G255" s="2">
        <f t="shared" si="17"/>
        <v>2026</v>
      </c>
      <c r="H255" s="2">
        <f t="shared" si="18"/>
        <v>4</v>
      </c>
      <c r="I255" s="2">
        <f t="shared" si="15"/>
        <v>2</v>
      </c>
    </row>
    <row r="256" spans="1:9" x14ac:dyDescent="0.25">
      <c r="A256" s="13" t="s">
        <v>80</v>
      </c>
      <c r="B256" s="2" t="s">
        <v>14</v>
      </c>
      <c r="C256" s="21" t="s">
        <v>36</v>
      </c>
      <c r="D256" s="16"/>
      <c r="E256" s="15">
        <v>6980</v>
      </c>
      <c r="F256" s="3">
        <f t="shared" si="16"/>
        <v>-6980</v>
      </c>
      <c r="G256" s="2">
        <f t="shared" si="17"/>
        <v>2026</v>
      </c>
      <c r="H256" s="2">
        <f t="shared" si="18"/>
        <v>4</v>
      </c>
      <c r="I256" s="2">
        <f t="shared" si="15"/>
        <v>2</v>
      </c>
    </row>
    <row r="257" spans="1:9" x14ac:dyDescent="0.25">
      <c r="A257" s="13" t="s">
        <v>80</v>
      </c>
      <c r="B257" s="2" t="s">
        <v>14</v>
      </c>
      <c r="C257" s="21" t="s">
        <v>20</v>
      </c>
      <c r="D257" s="16"/>
      <c r="E257" s="17">
        <v>19000</v>
      </c>
      <c r="F257" s="3">
        <f t="shared" si="16"/>
        <v>-19000</v>
      </c>
      <c r="G257" s="2">
        <f t="shared" si="17"/>
        <v>2026</v>
      </c>
      <c r="H257" s="2">
        <f t="shared" si="18"/>
        <v>4</v>
      </c>
      <c r="I257" s="2">
        <f t="shared" si="15"/>
        <v>2</v>
      </c>
    </row>
    <row r="258" spans="1:9" x14ac:dyDescent="0.25">
      <c r="A258" s="13" t="s">
        <v>80</v>
      </c>
      <c r="B258" s="2" t="s">
        <v>14</v>
      </c>
      <c r="C258" s="21" t="s">
        <v>13</v>
      </c>
      <c r="D258" s="16"/>
      <c r="E258" s="15">
        <v>6861</v>
      </c>
      <c r="F258" s="3">
        <f t="shared" si="16"/>
        <v>-6861</v>
      </c>
      <c r="G258" s="2">
        <f t="shared" si="17"/>
        <v>2026</v>
      </c>
      <c r="H258" s="2">
        <f t="shared" si="18"/>
        <v>4</v>
      </c>
      <c r="I258" s="2">
        <f t="shared" si="15"/>
        <v>2</v>
      </c>
    </row>
    <row r="259" spans="1:9" x14ac:dyDescent="0.25">
      <c r="A259" s="13" t="s">
        <v>80</v>
      </c>
      <c r="B259" s="2" t="s">
        <v>14</v>
      </c>
      <c r="C259" s="18" t="s">
        <v>13</v>
      </c>
      <c r="D259" s="15"/>
      <c r="E259" s="16">
        <v>395.43</v>
      </c>
      <c r="F259" s="3">
        <f t="shared" si="16"/>
        <v>-395.43</v>
      </c>
      <c r="G259" s="2">
        <f t="shared" si="17"/>
        <v>2026</v>
      </c>
      <c r="H259" s="2">
        <f t="shared" si="18"/>
        <v>4</v>
      </c>
      <c r="I259" s="2">
        <f t="shared" si="15"/>
        <v>2</v>
      </c>
    </row>
    <row r="260" spans="1:9" x14ac:dyDescent="0.25">
      <c r="A260" s="13" t="s">
        <v>80</v>
      </c>
      <c r="B260" s="2" t="s">
        <v>14</v>
      </c>
      <c r="C260" s="23" t="s">
        <v>13</v>
      </c>
      <c r="D260" s="15"/>
      <c r="E260" s="16">
        <v>200000</v>
      </c>
      <c r="F260" s="3">
        <f t="shared" si="16"/>
        <v>-200000</v>
      </c>
      <c r="G260" s="2">
        <f t="shared" si="17"/>
        <v>2026</v>
      </c>
      <c r="H260" s="2">
        <f t="shared" si="18"/>
        <v>4</v>
      </c>
      <c r="I260" s="2">
        <f t="shared" ref="I260:I323" si="19">ROUNDUP(H260/3,0)</f>
        <v>2</v>
      </c>
    </row>
    <row r="261" spans="1:9" x14ac:dyDescent="0.25">
      <c r="A261" s="13" t="s">
        <v>81</v>
      </c>
      <c r="B261" s="2" t="s">
        <v>10</v>
      </c>
      <c r="C261" s="23" t="s">
        <v>12</v>
      </c>
      <c r="D261" s="15">
        <v>5682.6</v>
      </c>
      <c r="E261" s="16"/>
      <c r="F261" s="3">
        <f t="shared" ref="F261:F324" si="20">D261-E261</f>
        <v>5682.6</v>
      </c>
      <c r="G261" s="2">
        <f t="shared" ref="G261:G324" si="21">YEAR(A261)</f>
        <v>2026</v>
      </c>
      <c r="H261" s="2">
        <f t="shared" ref="H261:H324" si="22">MONTH(A261)</f>
        <v>4</v>
      </c>
      <c r="I261" s="2">
        <f t="shared" si="19"/>
        <v>2</v>
      </c>
    </row>
    <row r="262" spans="1:9" x14ac:dyDescent="0.25">
      <c r="A262" s="13" t="s">
        <v>81</v>
      </c>
      <c r="B262" s="2" t="s">
        <v>10</v>
      </c>
      <c r="C262" s="23" t="s">
        <v>11</v>
      </c>
      <c r="D262" s="15">
        <v>4000</v>
      </c>
      <c r="E262" s="16"/>
      <c r="F262" s="3">
        <f t="shared" si="20"/>
        <v>4000</v>
      </c>
      <c r="G262" s="2">
        <f t="shared" si="21"/>
        <v>2026</v>
      </c>
      <c r="H262" s="2">
        <f t="shared" si="22"/>
        <v>4</v>
      </c>
      <c r="I262" s="2">
        <f t="shared" si="19"/>
        <v>2</v>
      </c>
    </row>
    <row r="263" spans="1:9" x14ac:dyDescent="0.25">
      <c r="A263" s="13" t="s">
        <v>81</v>
      </c>
      <c r="B263" s="2" t="s">
        <v>10</v>
      </c>
      <c r="C263" s="21" t="s">
        <v>11</v>
      </c>
      <c r="D263" s="17">
        <v>7020</v>
      </c>
      <c r="E263" s="16"/>
      <c r="F263" s="3">
        <f t="shared" si="20"/>
        <v>7020</v>
      </c>
      <c r="G263" s="2">
        <f t="shared" si="21"/>
        <v>2026</v>
      </c>
      <c r="H263" s="2">
        <f t="shared" si="22"/>
        <v>4</v>
      </c>
      <c r="I263" s="2">
        <f t="shared" si="19"/>
        <v>2</v>
      </c>
    </row>
    <row r="264" spans="1:9" x14ac:dyDescent="0.25">
      <c r="A264" s="13" t="s">
        <v>81</v>
      </c>
      <c r="B264" s="2" t="s">
        <v>10</v>
      </c>
      <c r="C264" s="21" t="s">
        <v>11</v>
      </c>
      <c r="D264" s="15">
        <v>22490</v>
      </c>
      <c r="E264" s="16"/>
      <c r="F264" s="3">
        <f t="shared" si="20"/>
        <v>22490</v>
      </c>
      <c r="G264" s="2">
        <f t="shared" si="21"/>
        <v>2026</v>
      </c>
      <c r="H264" s="2">
        <f t="shared" si="22"/>
        <v>4</v>
      </c>
      <c r="I264" s="2">
        <f t="shared" si="19"/>
        <v>2</v>
      </c>
    </row>
    <row r="265" spans="1:9" x14ac:dyDescent="0.25">
      <c r="A265" s="13" t="s">
        <v>81</v>
      </c>
      <c r="B265" s="2" t="s">
        <v>10</v>
      </c>
      <c r="C265" s="21" t="s">
        <v>13</v>
      </c>
      <c r="D265" s="15">
        <v>600</v>
      </c>
      <c r="E265" s="16"/>
      <c r="F265" s="3">
        <f t="shared" si="20"/>
        <v>600</v>
      </c>
      <c r="G265" s="2">
        <f t="shared" si="21"/>
        <v>2026</v>
      </c>
      <c r="H265" s="2">
        <f t="shared" si="22"/>
        <v>4</v>
      </c>
      <c r="I265" s="2">
        <f t="shared" si="19"/>
        <v>2</v>
      </c>
    </row>
    <row r="266" spans="1:9" x14ac:dyDescent="0.25">
      <c r="A266" s="13" t="s">
        <v>81</v>
      </c>
      <c r="B266" s="2" t="s">
        <v>10</v>
      </c>
      <c r="C266" s="21" t="s">
        <v>13</v>
      </c>
      <c r="D266" s="15">
        <v>1053</v>
      </c>
      <c r="E266" s="16"/>
      <c r="F266" s="3">
        <f t="shared" si="20"/>
        <v>1053</v>
      </c>
      <c r="G266" s="2">
        <f t="shared" si="21"/>
        <v>2026</v>
      </c>
      <c r="H266" s="2">
        <f t="shared" si="22"/>
        <v>4</v>
      </c>
      <c r="I266" s="2">
        <f t="shared" si="19"/>
        <v>2</v>
      </c>
    </row>
    <row r="267" spans="1:9" x14ac:dyDescent="0.25">
      <c r="A267" s="13" t="s">
        <v>81</v>
      </c>
      <c r="B267" s="2" t="s">
        <v>10</v>
      </c>
      <c r="C267" s="21" t="s">
        <v>13</v>
      </c>
      <c r="D267" s="16">
        <v>3373.5</v>
      </c>
      <c r="E267" s="17"/>
      <c r="F267" s="3">
        <f t="shared" si="20"/>
        <v>3373.5</v>
      </c>
      <c r="G267" s="2">
        <f t="shared" si="21"/>
        <v>2026</v>
      </c>
      <c r="H267" s="2">
        <f t="shared" si="22"/>
        <v>4</v>
      </c>
      <c r="I267" s="2">
        <f t="shared" si="19"/>
        <v>2</v>
      </c>
    </row>
    <row r="268" spans="1:9" x14ac:dyDescent="0.25">
      <c r="A268" s="13" t="s">
        <v>81</v>
      </c>
      <c r="B268" s="2" t="s">
        <v>10</v>
      </c>
      <c r="C268" s="18" t="s">
        <v>13</v>
      </c>
      <c r="D268" s="16">
        <v>30000</v>
      </c>
      <c r="E268" s="15"/>
      <c r="F268" s="3">
        <f t="shared" si="20"/>
        <v>30000</v>
      </c>
      <c r="G268" s="2">
        <f t="shared" si="21"/>
        <v>2026</v>
      </c>
      <c r="H268" s="2">
        <f t="shared" si="22"/>
        <v>4</v>
      </c>
      <c r="I268" s="2">
        <f t="shared" si="19"/>
        <v>2</v>
      </c>
    </row>
    <row r="269" spans="1:9" x14ac:dyDescent="0.25">
      <c r="A269" s="13" t="s">
        <v>81</v>
      </c>
      <c r="B269" s="2" t="s">
        <v>14</v>
      </c>
      <c r="C269" s="21" t="s">
        <v>13</v>
      </c>
      <c r="D269" s="16"/>
      <c r="E269" s="15">
        <v>600</v>
      </c>
      <c r="F269" s="3">
        <f t="shared" si="20"/>
        <v>-600</v>
      </c>
      <c r="G269" s="2">
        <f t="shared" si="21"/>
        <v>2026</v>
      </c>
      <c r="H269" s="2">
        <f t="shared" si="22"/>
        <v>4</v>
      </c>
      <c r="I269" s="2">
        <f t="shared" si="19"/>
        <v>2</v>
      </c>
    </row>
    <row r="270" spans="1:9" x14ac:dyDescent="0.25">
      <c r="A270" s="13" t="s">
        <v>81</v>
      </c>
      <c r="B270" s="2" t="s">
        <v>14</v>
      </c>
      <c r="C270" s="18" t="s">
        <v>17</v>
      </c>
      <c r="D270" s="16"/>
      <c r="E270" s="15">
        <v>9413.7999999999993</v>
      </c>
      <c r="F270" s="3">
        <f t="shared" si="20"/>
        <v>-9413.7999999999993</v>
      </c>
      <c r="G270" s="2">
        <f t="shared" si="21"/>
        <v>2026</v>
      </c>
      <c r="H270" s="2">
        <f t="shared" si="22"/>
        <v>4</v>
      </c>
      <c r="I270" s="2">
        <f t="shared" si="19"/>
        <v>2</v>
      </c>
    </row>
    <row r="271" spans="1:9" x14ac:dyDescent="0.25">
      <c r="A271" s="13" t="s">
        <v>81</v>
      </c>
      <c r="B271" s="2" t="s">
        <v>14</v>
      </c>
      <c r="C271" s="21" t="s">
        <v>13</v>
      </c>
      <c r="D271" s="16"/>
      <c r="E271" s="15">
        <v>1053</v>
      </c>
      <c r="F271" s="3">
        <f t="shared" si="20"/>
        <v>-1053</v>
      </c>
      <c r="G271" s="2">
        <f t="shared" si="21"/>
        <v>2026</v>
      </c>
      <c r="H271" s="2">
        <f t="shared" si="22"/>
        <v>4</v>
      </c>
      <c r="I271" s="2">
        <f t="shared" si="19"/>
        <v>2</v>
      </c>
    </row>
    <row r="272" spans="1:9" x14ac:dyDescent="0.25">
      <c r="A272" s="13" t="s">
        <v>81</v>
      </c>
      <c r="B272" s="2" t="s">
        <v>14</v>
      </c>
      <c r="C272" s="18" t="s">
        <v>13</v>
      </c>
      <c r="D272" s="15"/>
      <c r="E272" s="16">
        <v>3373.5</v>
      </c>
      <c r="F272" s="3">
        <f t="shared" si="20"/>
        <v>-3373.5</v>
      </c>
      <c r="G272" s="2">
        <f t="shared" si="21"/>
        <v>2026</v>
      </c>
      <c r="H272" s="2">
        <f t="shared" si="22"/>
        <v>4</v>
      </c>
      <c r="I272" s="2">
        <f t="shared" si="19"/>
        <v>2</v>
      </c>
    </row>
    <row r="273" spans="1:9" x14ac:dyDescent="0.25">
      <c r="A273" s="13" t="s">
        <v>81</v>
      </c>
      <c r="B273" s="2" t="s">
        <v>14</v>
      </c>
      <c r="C273" s="23" t="s">
        <v>13</v>
      </c>
      <c r="D273" s="15"/>
      <c r="E273" s="16">
        <v>30000</v>
      </c>
      <c r="F273" s="3">
        <f t="shared" si="20"/>
        <v>-30000</v>
      </c>
      <c r="G273" s="2">
        <f t="shared" si="21"/>
        <v>2026</v>
      </c>
      <c r="H273" s="2">
        <f t="shared" si="22"/>
        <v>4</v>
      </c>
      <c r="I273" s="2">
        <f t="shared" si="19"/>
        <v>2</v>
      </c>
    </row>
    <row r="274" spans="1:9" x14ac:dyDescent="0.25">
      <c r="A274" s="13" t="s">
        <v>82</v>
      </c>
      <c r="B274" s="2" t="s">
        <v>10</v>
      </c>
      <c r="C274" s="23" t="s">
        <v>12</v>
      </c>
      <c r="D274" s="15">
        <v>10634.83</v>
      </c>
      <c r="E274" s="16"/>
      <c r="F274" s="3">
        <f t="shared" si="20"/>
        <v>10634.83</v>
      </c>
      <c r="G274" s="2">
        <f t="shared" si="21"/>
        <v>2026</v>
      </c>
      <c r="H274" s="2">
        <f t="shared" si="22"/>
        <v>4</v>
      </c>
      <c r="I274" s="2">
        <f t="shared" si="19"/>
        <v>2</v>
      </c>
    </row>
    <row r="275" spans="1:9" x14ac:dyDescent="0.25">
      <c r="A275" s="13" t="s">
        <v>82</v>
      </c>
      <c r="B275" s="2" t="s">
        <v>10</v>
      </c>
      <c r="C275" s="23" t="s">
        <v>11</v>
      </c>
      <c r="D275" s="15">
        <v>56903.5</v>
      </c>
      <c r="E275" s="16"/>
      <c r="F275" s="3">
        <f t="shared" si="20"/>
        <v>56903.5</v>
      </c>
      <c r="G275" s="2">
        <f t="shared" si="21"/>
        <v>2026</v>
      </c>
      <c r="H275" s="2">
        <f t="shared" si="22"/>
        <v>4</v>
      </c>
      <c r="I275" s="2">
        <f t="shared" si="19"/>
        <v>2</v>
      </c>
    </row>
    <row r="276" spans="1:9" x14ac:dyDescent="0.25">
      <c r="A276" s="13" t="s">
        <v>82</v>
      </c>
      <c r="B276" s="2" t="s">
        <v>10</v>
      </c>
      <c r="C276" s="23" t="s">
        <v>11</v>
      </c>
      <c r="D276" s="15">
        <v>11760</v>
      </c>
      <c r="E276" s="16"/>
      <c r="F276" s="3">
        <f t="shared" si="20"/>
        <v>11760</v>
      </c>
      <c r="G276" s="2">
        <f t="shared" si="21"/>
        <v>2026</v>
      </c>
      <c r="H276" s="2">
        <f t="shared" si="22"/>
        <v>4</v>
      </c>
      <c r="I276" s="2">
        <f t="shared" si="19"/>
        <v>2</v>
      </c>
    </row>
    <row r="277" spans="1:9" x14ac:dyDescent="0.25">
      <c r="A277" s="13" t="s">
        <v>82</v>
      </c>
      <c r="B277" s="2" t="s">
        <v>10</v>
      </c>
      <c r="C277" s="23" t="s">
        <v>11</v>
      </c>
      <c r="D277" s="15">
        <v>5000</v>
      </c>
      <c r="E277" s="16"/>
      <c r="F277" s="3">
        <f t="shared" si="20"/>
        <v>5000</v>
      </c>
      <c r="G277" s="2">
        <f t="shared" si="21"/>
        <v>2026</v>
      </c>
      <c r="H277" s="2">
        <f t="shared" si="22"/>
        <v>4</v>
      </c>
      <c r="I277" s="2">
        <f t="shared" si="19"/>
        <v>2</v>
      </c>
    </row>
    <row r="278" spans="1:9" x14ac:dyDescent="0.25">
      <c r="A278" s="13" t="s">
        <v>82</v>
      </c>
      <c r="B278" s="2" t="s">
        <v>10</v>
      </c>
      <c r="C278" s="21" t="s">
        <v>11</v>
      </c>
      <c r="D278" s="15">
        <v>17370</v>
      </c>
      <c r="E278" s="16"/>
      <c r="F278" s="3">
        <f t="shared" si="20"/>
        <v>17370</v>
      </c>
      <c r="G278" s="2">
        <f t="shared" si="21"/>
        <v>2026</v>
      </c>
      <c r="H278" s="2">
        <f t="shared" si="22"/>
        <v>4</v>
      </c>
      <c r="I278" s="2">
        <f t="shared" si="19"/>
        <v>2</v>
      </c>
    </row>
    <row r="279" spans="1:9" x14ac:dyDescent="0.25">
      <c r="A279" s="13" t="s">
        <v>82</v>
      </c>
      <c r="B279" s="2" t="s">
        <v>10</v>
      </c>
      <c r="C279" s="21" t="s">
        <v>11</v>
      </c>
      <c r="D279" s="15">
        <v>10000</v>
      </c>
      <c r="E279" s="16"/>
      <c r="F279" s="3">
        <f t="shared" si="20"/>
        <v>10000</v>
      </c>
      <c r="G279" s="2">
        <f t="shared" si="21"/>
        <v>2026</v>
      </c>
      <c r="H279" s="2">
        <f t="shared" si="22"/>
        <v>4</v>
      </c>
      <c r="I279" s="2">
        <f t="shared" si="19"/>
        <v>2</v>
      </c>
    </row>
    <row r="280" spans="1:9" x14ac:dyDescent="0.25">
      <c r="A280" s="13" t="s">
        <v>82</v>
      </c>
      <c r="B280" s="2" t="s">
        <v>10</v>
      </c>
      <c r="C280" s="21" t="s">
        <v>13</v>
      </c>
      <c r="D280" s="17">
        <v>8535.52</v>
      </c>
      <c r="E280" s="16"/>
      <c r="F280" s="3">
        <f t="shared" si="20"/>
        <v>8535.52</v>
      </c>
      <c r="G280" s="2">
        <f t="shared" si="21"/>
        <v>2026</v>
      </c>
      <c r="H280" s="2">
        <f t="shared" si="22"/>
        <v>4</v>
      </c>
      <c r="I280" s="2">
        <f t="shared" si="19"/>
        <v>2</v>
      </c>
    </row>
    <row r="281" spans="1:9" x14ac:dyDescent="0.25">
      <c r="A281" s="13" t="s">
        <v>82</v>
      </c>
      <c r="B281" s="2" t="s">
        <v>10</v>
      </c>
      <c r="C281" s="21" t="s">
        <v>13</v>
      </c>
      <c r="D281" s="15">
        <v>1764</v>
      </c>
      <c r="E281" s="16"/>
      <c r="F281" s="3">
        <f t="shared" si="20"/>
        <v>1764</v>
      </c>
      <c r="G281" s="2">
        <f t="shared" si="21"/>
        <v>2026</v>
      </c>
      <c r="H281" s="2">
        <f t="shared" si="22"/>
        <v>4</v>
      </c>
      <c r="I281" s="2">
        <f t="shared" si="19"/>
        <v>2</v>
      </c>
    </row>
    <row r="282" spans="1:9" x14ac:dyDescent="0.25">
      <c r="A282" s="13" t="s">
        <v>82</v>
      </c>
      <c r="B282" s="2" t="s">
        <v>10</v>
      </c>
      <c r="C282" s="21" t="s">
        <v>13</v>
      </c>
      <c r="D282" s="15">
        <v>750</v>
      </c>
      <c r="E282" s="16"/>
      <c r="F282" s="3">
        <f t="shared" si="20"/>
        <v>750</v>
      </c>
      <c r="G282" s="2">
        <f t="shared" si="21"/>
        <v>2026</v>
      </c>
      <c r="H282" s="2">
        <f t="shared" si="22"/>
        <v>4</v>
      </c>
      <c r="I282" s="2">
        <f t="shared" si="19"/>
        <v>2</v>
      </c>
    </row>
    <row r="283" spans="1:9" x14ac:dyDescent="0.25">
      <c r="A283" s="13" t="s">
        <v>82</v>
      </c>
      <c r="B283" s="2" t="s">
        <v>10</v>
      </c>
      <c r="C283" s="23" t="s">
        <v>13</v>
      </c>
      <c r="D283" s="17">
        <v>2605.5</v>
      </c>
      <c r="E283" s="16"/>
      <c r="F283" s="3">
        <f t="shared" si="20"/>
        <v>2605.5</v>
      </c>
      <c r="G283" s="2">
        <f t="shared" si="21"/>
        <v>2026</v>
      </c>
      <c r="H283" s="2">
        <f t="shared" si="22"/>
        <v>4</v>
      </c>
      <c r="I283" s="2">
        <f t="shared" si="19"/>
        <v>2</v>
      </c>
    </row>
    <row r="284" spans="1:9" x14ac:dyDescent="0.25">
      <c r="A284" s="13" t="s">
        <v>82</v>
      </c>
      <c r="B284" s="2" t="s">
        <v>10</v>
      </c>
      <c r="C284" s="18" t="s">
        <v>13</v>
      </c>
      <c r="D284" s="16">
        <v>1500</v>
      </c>
      <c r="E284" s="15"/>
      <c r="F284" s="3">
        <f t="shared" si="20"/>
        <v>1500</v>
      </c>
      <c r="G284" s="2">
        <f t="shared" si="21"/>
        <v>2026</v>
      </c>
      <c r="H284" s="2">
        <f t="shared" si="22"/>
        <v>4</v>
      </c>
      <c r="I284" s="2">
        <f t="shared" si="19"/>
        <v>2</v>
      </c>
    </row>
    <row r="285" spans="1:9" x14ac:dyDescent="0.25">
      <c r="A285" s="13" t="s">
        <v>82</v>
      </c>
      <c r="B285" s="2" t="s">
        <v>10</v>
      </c>
      <c r="C285" s="21" t="s">
        <v>37</v>
      </c>
      <c r="D285" s="16">
        <v>214</v>
      </c>
      <c r="E285" s="15"/>
      <c r="F285" s="3">
        <f t="shared" si="20"/>
        <v>214</v>
      </c>
      <c r="G285" s="2">
        <f t="shared" si="21"/>
        <v>2026</v>
      </c>
      <c r="H285" s="2">
        <f t="shared" si="22"/>
        <v>4</v>
      </c>
      <c r="I285" s="2">
        <f t="shared" si="19"/>
        <v>2</v>
      </c>
    </row>
    <row r="286" spans="1:9" x14ac:dyDescent="0.25">
      <c r="A286" s="13" t="s">
        <v>82</v>
      </c>
      <c r="B286" s="2" t="s">
        <v>14</v>
      </c>
      <c r="C286" s="18" t="s">
        <v>18</v>
      </c>
      <c r="D286" s="16"/>
      <c r="E286" s="15">
        <v>2360</v>
      </c>
      <c r="F286" s="3">
        <f t="shared" si="20"/>
        <v>-2360</v>
      </c>
      <c r="G286" s="2">
        <f t="shared" si="21"/>
        <v>2026</v>
      </c>
      <c r="H286" s="2">
        <f t="shared" si="22"/>
        <v>4</v>
      </c>
      <c r="I286" s="2">
        <f t="shared" si="19"/>
        <v>2</v>
      </c>
    </row>
    <row r="287" spans="1:9" x14ac:dyDescent="0.25">
      <c r="A287" s="13" t="s">
        <v>82</v>
      </c>
      <c r="B287" s="2" t="s">
        <v>14</v>
      </c>
      <c r="C287" s="18" t="s">
        <v>13</v>
      </c>
      <c r="D287" s="16"/>
      <c r="E287" s="15">
        <v>8535.52</v>
      </c>
      <c r="F287" s="3">
        <f t="shared" si="20"/>
        <v>-8535.52</v>
      </c>
      <c r="G287" s="2">
        <f t="shared" si="21"/>
        <v>2026</v>
      </c>
      <c r="H287" s="2">
        <f t="shared" si="22"/>
        <v>4</v>
      </c>
      <c r="I287" s="2">
        <f t="shared" si="19"/>
        <v>2</v>
      </c>
    </row>
    <row r="288" spans="1:9" x14ac:dyDescent="0.25">
      <c r="A288" s="13" t="s">
        <v>82</v>
      </c>
      <c r="B288" s="2" t="s">
        <v>14</v>
      </c>
      <c r="C288" s="21" t="s">
        <v>38</v>
      </c>
      <c r="D288" s="16"/>
      <c r="E288" s="15">
        <v>8700</v>
      </c>
      <c r="F288" s="3">
        <f t="shared" si="20"/>
        <v>-8700</v>
      </c>
      <c r="G288" s="2">
        <f t="shared" si="21"/>
        <v>2026</v>
      </c>
      <c r="H288" s="2">
        <f t="shared" si="22"/>
        <v>4</v>
      </c>
      <c r="I288" s="2">
        <f t="shared" si="19"/>
        <v>2</v>
      </c>
    </row>
    <row r="289" spans="1:9" x14ac:dyDescent="0.25">
      <c r="A289" s="13" t="s">
        <v>82</v>
      </c>
      <c r="B289" s="2" t="s">
        <v>14</v>
      </c>
      <c r="C289" s="18" t="s">
        <v>38</v>
      </c>
      <c r="D289" s="16"/>
      <c r="E289" s="15">
        <v>21600</v>
      </c>
      <c r="F289" s="3">
        <f t="shared" si="20"/>
        <v>-21600</v>
      </c>
      <c r="G289" s="2">
        <f t="shared" si="21"/>
        <v>2026</v>
      </c>
      <c r="H289" s="2">
        <f t="shared" si="22"/>
        <v>4</v>
      </c>
      <c r="I289" s="2">
        <f t="shared" si="19"/>
        <v>2</v>
      </c>
    </row>
    <row r="290" spans="1:9" x14ac:dyDescent="0.25">
      <c r="A290" s="13" t="s">
        <v>82</v>
      </c>
      <c r="B290" s="2" t="s">
        <v>14</v>
      </c>
      <c r="C290" s="18" t="s">
        <v>13</v>
      </c>
      <c r="D290" s="16"/>
      <c r="E290" s="15">
        <v>1764</v>
      </c>
      <c r="F290" s="3">
        <f t="shared" si="20"/>
        <v>-1764</v>
      </c>
      <c r="G290" s="2">
        <f t="shared" si="21"/>
        <v>2026</v>
      </c>
      <c r="H290" s="2">
        <f t="shared" si="22"/>
        <v>4</v>
      </c>
      <c r="I290" s="2">
        <f t="shared" si="19"/>
        <v>2</v>
      </c>
    </row>
    <row r="291" spans="1:9" x14ac:dyDescent="0.25">
      <c r="A291" s="13" t="s">
        <v>82</v>
      </c>
      <c r="B291" s="2" t="s">
        <v>14</v>
      </c>
      <c r="C291" s="18" t="s">
        <v>19</v>
      </c>
      <c r="D291" s="16"/>
      <c r="E291" s="15">
        <v>11500</v>
      </c>
      <c r="F291" s="3">
        <f t="shared" si="20"/>
        <v>-11500</v>
      </c>
      <c r="G291" s="2">
        <f t="shared" si="21"/>
        <v>2026</v>
      </c>
      <c r="H291" s="2">
        <f t="shared" si="22"/>
        <v>4</v>
      </c>
      <c r="I291" s="2">
        <f t="shared" si="19"/>
        <v>2</v>
      </c>
    </row>
    <row r="292" spans="1:9" x14ac:dyDescent="0.25">
      <c r="A292" s="13" t="s">
        <v>82</v>
      </c>
      <c r="B292" s="2" t="s">
        <v>14</v>
      </c>
      <c r="C292" s="21" t="s">
        <v>27</v>
      </c>
      <c r="D292" s="16"/>
      <c r="E292" s="17">
        <v>32193</v>
      </c>
      <c r="F292" s="3">
        <f t="shared" si="20"/>
        <v>-32193</v>
      </c>
      <c r="G292" s="2">
        <f t="shared" si="21"/>
        <v>2026</v>
      </c>
      <c r="H292" s="2">
        <f t="shared" si="22"/>
        <v>4</v>
      </c>
      <c r="I292" s="2">
        <f t="shared" si="19"/>
        <v>2</v>
      </c>
    </row>
    <row r="293" spans="1:9" x14ac:dyDescent="0.25">
      <c r="A293" s="13" t="s">
        <v>82</v>
      </c>
      <c r="B293" s="2" t="s">
        <v>14</v>
      </c>
      <c r="C293" s="21" t="s">
        <v>27</v>
      </c>
      <c r="D293" s="16"/>
      <c r="E293" s="15">
        <v>7740</v>
      </c>
      <c r="F293" s="3">
        <f t="shared" si="20"/>
        <v>-7740</v>
      </c>
      <c r="G293" s="2">
        <f t="shared" si="21"/>
        <v>2026</v>
      </c>
      <c r="H293" s="2">
        <f t="shared" si="22"/>
        <v>4</v>
      </c>
      <c r="I293" s="2">
        <f t="shared" si="19"/>
        <v>2</v>
      </c>
    </row>
    <row r="294" spans="1:9" x14ac:dyDescent="0.25">
      <c r="A294" s="13" t="s">
        <v>82</v>
      </c>
      <c r="B294" s="2" t="s">
        <v>14</v>
      </c>
      <c r="C294" s="18" t="s">
        <v>13</v>
      </c>
      <c r="D294" s="16"/>
      <c r="E294" s="15">
        <v>750</v>
      </c>
      <c r="F294" s="3">
        <f t="shared" si="20"/>
        <v>-750</v>
      </c>
      <c r="G294" s="2">
        <f t="shared" si="21"/>
        <v>2026</v>
      </c>
      <c r="H294" s="2">
        <f t="shared" si="22"/>
        <v>4</v>
      </c>
      <c r="I294" s="2">
        <f t="shared" si="19"/>
        <v>2</v>
      </c>
    </row>
    <row r="295" spans="1:9" x14ac:dyDescent="0.25">
      <c r="A295" s="13" t="s">
        <v>82</v>
      </c>
      <c r="B295" s="2" t="s">
        <v>14</v>
      </c>
      <c r="C295" s="21" t="s">
        <v>13</v>
      </c>
      <c r="D295" s="16"/>
      <c r="E295" s="15">
        <v>2605.5</v>
      </c>
      <c r="F295" s="3">
        <f t="shared" si="20"/>
        <v>-2605.5</v>
      </c>
      <c r="G295" s="2">
        <f t="shared" si="21"/>
        <v>2026</v>
      </c>
      <c r="H295" s="2">
        <f t="shared" si="22"/>
        <v>4</v>
      </c>
      <c r="I295" s="2">
        <f t="shared" si="19"/>
        <v>2</v>
      </c>
    </row>
    <row r="296" spans="1:9" x14ac:dyDescent="0.25">
      <c r="A296" s="13" t="s">
        <v>82</v>
      </c>
      <c r="B296" s="2" t="s">
        <v>14</v>
      </c>
      <c r="C296" s="21" t="s">
        <v>20</v>
      </c>
      <c r="D296" s="16"/>
      <c r="E296" s="15">
        <v>24000</v>
      </c>
      <c r="F296" s="3">
        <f t="shared" si="20"/>
        <v>-24000</v>
      </c>
      <c r="G296" s="2">
        <f t="shared" si="21"/>
        <v>2026</v>
      </c>
      <c r="H296" s="2">
        <f t="shared" si="22"/>
        <v>4</v>
      </c>
      <c r="I296" s="2">
        <f t="shared" si="19"/>
        <v>2</v>
      </c>
    </row>
    <row r="297" spans="1:9" x14ac:dyDescent="0.25">
      <c r="A297" s="13" t="s">
        <v>82</v>
      </c>
      <c r="B297" s="2" t="s">
        <v>14</v>
      </c>
      <c r="C297" s="21" t="s">
        <v>13</v>
      </c>
      <c r="D297" s="16"/>
      <c r="E297" s="17">
        <v>1500</v>
      </c>
      <c r="F297" s="3">
        <f t="shared" si="20"/>
        <v>-1500</v>
      </c>
      <c r="G297" s="2">
        <f t="shared" si="21"/>
        <v>2026</v>
      </c>
      <c r="H297" s="2">
        <f t="shared" si="22"/>
        <v>4</v>
      </c>
      <c r="I297" s="2">
        <f t="shared" si="19"/>
        <v>2</v>
      </c>
    </row>
    <row r="298" spans="1:9" x14ac:dyDescent="0.25">
      <c r="A298" s="13" t="s">
        <v>82</v>
      </c>
      <c r="B298" s="2" t="s">
        <v>14</v>
      </c>
      <c r="C298" s="21" t="s">
        <v>36</v>
      </c>
      <c r="D298" s="15"/>
      <c r="E298" s="16">
        <v>2555</v>
      </c>
      <c r="F298" s="3">
        <f t="shared" si="20"/>
        <v>-2555</v>
      </c>
      <c r="G298" s="2">
        <f t="shared" si="21"/>
        <v>2026</v>
      </c>
      <c r="H298" s="2">
        <f t="shared" si="22"/>
        <v>4</v>
      </c>
      <c r="I298" s="2">
        <f t="shared" si="19"/>
        <v>2</v>
      </c>
    </row>
    <row r="299" spans="1:9" x14ac:dyDescent="0.25">
      <c r="A299" s="13" t="s">
        <v>82</v>
      </c>
      <c r="B299" s="2" t="s">
        <v>14</v>
      </c>
      <c r="C299" s="21" t="s">
        <v>36</v>
      </c>
      <c r="D299" s="17"/>
      <c r="E299" s="16">
        <v>104</v>
      </c>
      <c r="F299" s="3">
        <f t="shared" si="20"/>
        <v>-104</v>
      </c>
      <c r="G299" s="2">
        <f t="shared" si="21"/>
        <v>2026</v>
      </c>
      <c r="H299" s="2">
        <f t="shared" si="22"/>
        <v>4</v>
      </c>
      <c r="I299" s="2">
        <f t="shared" si="19"/>
        <v>2</v>
      </c>
    </row>
    <row r="300" spans="1:9" x14ac:dyDescent="0.25">
      <c r="A300" s="13" t="s">
        <v>83</v>
      </c>
      <c r="B300" s="2" t="s">
        <v>10</v>
      </c>
      <c r="C300" s="21" t="s">
        <v>13</v>
      </c>
      <c r="D300" s="15">
        <v>4124.82</v>
      </c>
      <c r="E300" s="16"/>
      <c r="F300" s="3">
        <f t="shared" si="20"/>
        <v>4124.82</v>
      </c>
      <c r="G300" s="2">
        <f t="shared" si="21"/>
        <v>2026</v>
      </c>
      <c r="H300" s="2">
        <f t="shared" si="22"/>
        <v>4</v>
      </c>
      <c r="I300" s="2">
        <f t="shared" si="19"/>
        <v>2</v>
      </c>
    </row>
    <row r="301" spans="1:9" x14ac:dyDescent="0.25">
      <c r="A301" s="13" t="s">
        <v>83</v>
      </c>
      <c r="B301" s="2" t="s">
        <v>10</v>
      </c>
      <c r="C301" s="21" t="s">
        <v>13</v>
      </c>
      <c r="D301" s="17">
        <v>715.5</v>
      </c>
      <c r="E301" s="16"/>
      <c r="F301" s="3">
        <f t="shared" si="20"/>
        <v>715.5</v>
      </c>
      <c r="G301" s="2">
        <f t="shared" si="21"/>
        <v>2026</v>
      </c>
      <c r="H301" s="2">
        <f t="shared" si="22"/>
        <v>4</v>
      </c>
      <c r="I301" s="2">
        <f t="shared" si="19"/>
        <v>2</v>
      </c>
    </row>
    <row r="302" spans="1:9" x14ac:dyDescent="0.25">
      <c r="A302" s="13" t="s">
        <v>83</v>
      </c>
      <c r="B302" s="2" t="s">
        <v>10</v>
      </c>
      <c r="C302" s="21" t="s">
        <v>13</v>
      </c>
      <c r="D302" s="15">
        <v>4520.7</v>
      </c>
      <c r="E302" s="16"/>
      <c r="F302" s="3">
        <f t="shared" si="20"/>
        <v>4520.7</v>
      </c>
      <c r="G302" s="2">
        <f t="shared" si="21"/>
        <v>2026</v>
      </c>
      <c r="H302" s="2">
        <f t="shared" si="22"/>
        <v>4</v>
      </c>
      <c r="I302" s="2">
        <f t="shared" si="19"/>
        <v>2</v>
      </c>
    </row>
    <row r="303" spans="1:9" x14ac:dyDescent="0.25">
      <c r="A303" s="13" t="s">
        <v>83</v>
      </c>
      <c r="B303" s="2" t="s">
        <v>10</v>
      </c>
      <c r="C303" s="21" t="s">
        <v>13</v>
      </c>
      <c r="D303" s="15">
        <v>750</v>
      </c>
      <c r="E303" s="16"/>
      <c r="F303" s="3">
        <f t="shared" si="20"/>
        <v>750</v>
      </c>
      <c r="G303" s="2">
        <f t="shared" si="21"/>
        <v>2026</v>
      </c>
      <c r="H303" s="2">
        <f t="shared" si="22"/>
        <v>4</v>
      </c>
      <c r="I303" s="2">
        <f t="shared" si="19"/>
        <v>2</v>
      </c>
    </row>
    <row r="304" spans="1:9" x14ac:dyDescent="0.25">
      <c r="A304" s="13" t="s">
        <v>83</v>
      </c>
      <c r="B304" s="2" t="s">
        <v>10</v>
      </c>
      <c r="C304" s="21" t="s">
        <v>13</v>
      </c>
      <c r="D304" s="15">
        <v>2812.5</v>
      </c>
      <c r="E304" s="16"/>
      <c r="F304" s="3">
        <f t="shared" si="20"/>
        <v>2812.5</v>
      </c>
      <c r="G304" s="2">
        <f t="shared" si="21"/>
        <v>2026</v>
      </c>
      <c r="H304" s="2">
        <f t="shared" si="22"/>
        <v>4</v>
      </c>
      <c r="I304" s="2">
        <f t="shared" si="19"/>
        <v>2</v>
      </c>
    </row>
    <row r="305" spans="1:9" x14ac:dyDescent="0.25">
      <c r="A305" s="13" t="s">
        <v>83</v>
      </c>
      <c r="B305" s="2" t="s">
        <v>10</v>
      </c>
      <c r="C305" s="21" t="s">
        <v>13</v>
      </c>
      <c r="D305" s="15">
        <v>1500</v>
      </c>
      <c r="E305" s="16"/>
      <c r="F305" s="3">
        <f t="shared" si="20"/>
        <v>1500</v>
      </c>
      <c r="G305" s="2">
        <f t="shared" si="21"/>
        <v>2026</v>
      </c>
      <c r="H305" s="2">
        <f t="shared" si="22"/>
        <v>4</v>
      </c>
      <c r="I305" s="2">
        <f t="shared" si="19"/>
        <v>2</v>
      </c>
    </row>
    <row r="306" spans="1:9" x14ac:dyDescent="0.25">
      <c r="A306" s="13" t="s">
        <v>83</v>
      </c>
      <c r="B306" s="2" t="s">
        <v>10</v>
      </c>
      <c r="C306" s="23" t="s">
        <v>13</v>
      </c>
      <c r="D306" s="15">
        <v>1461.75</v>
      </c>
      <c r="E306" s="16"/>
      <c r="F306" s="3">
        <f t="shared" si="20"/>
        <v>1461.75</v>
      </c>
      <c r="G306" s="2">
        <f t="shared" si="21"/>
        <v>2026</v>
      </c>
      <c r="H306" s="2">
        <f t="shared" si="22"/>
        <v>4</v>
      </c>
      <c r="I306" s="2">
        <f t="shared" si="19"/>
        <v>2</v>
      </c>
    </row>
    <row r="307" spans="1:9" x14ac:dyDescent="0.25">
      <c r="A307" s="13" t="s">
        <v>83</v>
      </c>
      <c r="B307" s="2" t="s">
        <v>10</v>
      </c>
      <c r="C307" s="23" t="s">
        <v>13</v>
      </c>
      <c r="D307" s="15">
        <v>1752</v>
      </c>
      <c r="E307" s="16"/>
      <c r="F307" s="3">
        <f t="shared" si="20"/>
        <v>1752</v>
      </c>
      <c r="G307" s="2">
        <f t="shared" si="21"/>
        <v>2026</v>
      </c>
      <c r="H307" s="2">
        <f t="shared" si="22"/>
        <v>4</v>
      </c>
      <c r="I307" s="2">
        <f t="shared" si="19"/>
        <v>2</v>
      </c>
    </row>
    <row r="308" spans="1:9" x14ac:dyDescent="0.25">
      <c r="A308" s="13" t="s">
        <v>83</v>
      </c>
      <c r="B308" s="2" t="s">
        <v>10</v>
      </c>
      <c r="C308" s="23" t="s">
        <v>11</v>
      </c>
      <c r="D308" s="15">
        <v>27498.799999999999</v>
      </c>
      <c r="E308" s="16"/>
      <c r="F308" s="3">
        <f t="shared" si="20"/>
        <v>27498.799999999999</v>
      </c>
      <c r="G308" s="2">
        <f t="shared" si="21"/>
        <v>2026</v>
      </c>
      <c r="H308" s="2">
        <f t="shared" si="22"/>
        <v>4</v>
      </c>
      <c r="I308" s="2">
        <f t="shared" si="19"/>
        <v>2</v>
      </c>
    </row>
    <row r="309" spans="1:9" x14ac:dyDescent="0.25">
      <c r="A309" s="13" t="s">
        <v>83</v>
      </c>
      <c r="B309" s="2" t="s">
        <v>10</v>
      </c>
      <c r="C309" s="23" t="s">
        <v>39</v>
      </c>
      <c r="D309" s="15">
        <v>68000</v>
      </c>
      <c r="E309" s="16"/>
      <c r="F309" s="3">
        <f t="shared" si="20"/>
        <v>68000</v>
      </c>
      <c r="G309" s="2">
        <f t="shared" si="21"/>
        <v>2026</v>
      </c>
      <c r="H309" s="2">
        <f t="shared" si="22"/>
        <v>4</v>
      </c>
      <c r="I309" s="2">
        <f t="shared" si="19"/>
        <v>2</v>
      </c>
    </row>
    <row r="310" spans="1:9" x14ac:dyDescent="0.25">
      <c r="A310" s="13" t="s">
        <v>83</v>
      </c>
      <c r="B310" s="2" t="s">
        <v>10</v>
      </c>
      <c r="C310" s="23" t="s">
        <v>11</v>
      </c>
      <c r="D310" s="15">
        <v>4770</v>
      </c>
      <c r="E310" s="16"/>
      <c r="F310" s="3">
        <f t="shared" si="20"/>
        <v>4770</v>
      </c>
      <c r="G310" s="2">
        <f t="shared" si="21"/>
        <v>2026</v>
      </c>
      <c r="H310" s="2">
        <f t="shared" si="22"/>
        <v>4</v>
      </c>
      <c r="I310" s="2">
        <f t="shared" si="19"/>
        <v>2</v>
      </c>
    </row>
    <row r="311" spans="1:9" x14ac:dyDescent="0.25">
      <c r="A311" s="13" t="s">
        <v>83</v>
      </c>
      <c r="B311" s="2" t="s">
        <v>10</v>
      </c>
      <c r="C311" s="23" t="s">
        <v>11</v>
      </c>
      <c r="D311" s="15">
        <v>30138</v>
      </c>
      <c r="E311" s="16"/>
      <c r="F311" s="3">
        <f t="shared" si="20"/>
        <v>30138</v>
      </c>
      <c r="G311" s="2">
        <f t="shared" si="21"/>
        <v>2026</v>
      </c>
      <c r="H311" s="2">
        <f t="shared" si="22"/>
        <v>4</v>
      </c>
      <c r="I311" s="2">
        <f t="shared" si="19"/>
        <v>2</v>
      </c>
    </row>
    <row r="312" spans="1:9" x14ac:dyDescent="0.25">
      <c r="A312" s="13" t="s">
        <v>83</v>
      </c>
      <c r="B312" s="2" t="s">
        <v>10</v>
      </c>
      <c r="C312" s="23" t="s">
        <v>11</v>
      </c>
      <c r="D312" s="15">
        <v>5000</v>
      </c>
      <c r="E312" s="16"/>
      <c r="F312" s="3">
        <f t="shared" si="20"/>
        <v>5000</v>
      </c>
      <c r="G312" s="2">
        <f t="shared" si="21"/>
        <v>2026</v>
      </c>
      <c r="H312" s="2">
        <f t="shared" si="22"/>
        <v>4</v>
      </c>
      <c r="I312" s="2">
        <f t="shared" si="19"/>
        <v>2</v>
      </c>
    </row>
    <row r="313" spans="1:9" x14ac:dyDescent="0.25">
      <c r="A313" s="13" t="s">
        <v>83</v>
      </c>
      <c r="B313" s="2" t="s">
        <v>10</v>
      </c>
      <c r="C313" s="23" t="s">
        <v>11</v>
      </c>
      <c r="D313" s="15">
        <v>18750</v>
      </c>
      <c r="E313" s="16"/>
      <c r="F313" s="3">
        <f t="shared" si="20"/>
        <v>18750</v>
      </c>
      <c r="G313" s="2">
        <f t="shared" si="21"/>
        <v>2026</v>
      </c>
      <c r="H313" s="2">
        <f t="shared" si="22"/>
        <v>4</v>
      </c>
      <c r="I313" s="2">
        <f t="shared" si="19"/>
        <v>2</v>
      </c>
    </row>
    <row r="314" spans="1:9" x14ac:dyDescent="0.25">
      <c r="A314" s="13" t="s">
        <v>83</v>
      </c>
      <c r="B314" s="2" t="s">
        <v>10</v>
      </c>
      <c r="C314" s="23" t="s">
        <v>11</v>
      </c>
      <c r="D314" s="15">
        <v>10000</v>
      </c>
      <c r="E314" s="16"/>
      <c r="F314" s="3">
        <f t="shared" si="20"/>
        <v>10000</v>
      </c>
      <c r="G314" s="2">
        <f t="shared" si="21"/>
        <v>2026</v>
      </c>
      <c r="H314" s="2">
        <f t="shared" si="22"/>
        <v>4</v>
      </c>
      <c r="I314" s="2">
        <f t="shared" si="19"/>
        <v>2</v>
      </c>
    </row>
    <row r="315" spans="1:9" x14ac:dyDescent="0.25">
      <c r="A315" s="13" t="s">
        <v>83</v>
      </c>
      <c r="B315" s="2" t="s">
        <v>10</v>
      </c>
      <c r="C315" s="18" t="s">
        <v>11</v>
      </c>
      <c r="D315" s="15">
        <v>9745</v>
      </c>
      <c r="E315" s="16"/>
      <c r="F315" s="3">
        <f t="shared" si="20"/>
        <v>9745</v>
      </c>
      <c r="G315" s="2">
        <f t="shared" si="21"/>
        <v>2026</v>
      </c>
      <c r="H315" s="2">
        <f t="shared" si="22"/>
        <v>4</v>
      </c>
      <c r="I315" s="2">
        <f t="shared" si="19"/>
        <v>2</v>
      </c>
    </row>
    <row r="316" spans="1:9" x14ac:dyDescent="0.25">
      <c r="A316" s="13" t="s">
        <v>83</v>
      </c>
      <c r="B316" s="2" t="s">
        <v>10</v>
      </c>
      <c r="C316" s="21" t="s">
        <v>11</v>
      </c>
      <c r="D316" s="16">
        <v>11680</v>
      </c>
      <c r="E316" s="15"/>
      <c r="F316" s="3">
        <f t="shared" si="20"/>
        <v>11680</v>
      </c>
      <c r="G316" s="2">
        <f t="shared" si="21"/>
        <v>2026</v>
      </c>
      <c r="H316" s="2">
        <f t="shared" si="22"/>
        <v>4</v>
      </c>
      <c r="I316" s="2">
        <f t="shared" si="19"/>
        <v>2</v>
      </c>
    </row>
    <row r="317" spans="1:9" x14ac:dyDescent="0.25">
      <c r="A317" s="13" t="s">
        <v>83</v>
      </c>
      <c r="B317" s="2" t="s">
        <v>10</v>
      </c>
      <c r="C317" s="18" t="s">
        <v>12</v>
      </c>
      <c r="D317" s="16">
        <v>8305.58</v>
      </c>
      <c r="E317" s="15"/>
      <c r="F317" s="3">
        <f t="shared" si="20"/>
        <v>8305.58</v>
      </c>
      <c r="G317" s="2">
        <f t="shared" si="21"/>
        <v>2026</v>
      </c>
      <c r="H317" s="2">
        <f t="shared" si="22"/>
        <v>4</v>
      </c>
      <c r="I317" s="2">
        <f t="shared" si="19"/>
        <v>2</v>
      </c>
    </row>
    <row r="318" spans="1:9" x14ac:dyDescent="0.25">
      <c r="A318" s="13" t="s">
        <v>83</v>
      </c>
      <c r="B318" s="2" t="s">
        <v>14</v>
      </c>
      <c r="C318" s="21" t="s">
        <v>13</v>
      </c>
      <c r="D318" s="16"/>
      <c r="E318" s="17">
        <v>4124.82</v>
      </c>
      <c r="F318" s="3">
        <f t="shared" si="20"/>
        <v>-4124.82</v>
      </c>
      <c r="G318" s="2">
        <f t="shared" si="21"/>
        <v>2026</v>
      </c>
      <c r="H318" s="2">
        <f t="shared" si="22"/>
        <v>4</v>
      </c>
      <c r="I318" s="2">
        <f t="shared" si="19"/>
        <v>2</v>
      </c>
    </row>
    <row r="319" spans="1:9" x14ac:dyDescent="0.25">
      <c r="A319" s="13" t="s">
        <v>83</v>
      </c>
      <c r="B319" s="2" t="s">
        <v>14</v>
      </c>
      <c r="C319" s="21" t="s">
        <v>29</v>
      </c>
      <c r="D319" s="16"/>
      <c r="E319" s="15">
        <v>14000</v>
      </c>
      <c r="F319" s="3">
        <f t="shared" si="20"/>
        <v>-14000</v>
      </c>
      <c r="G319" s="2">
        <f t="shared" si="21"/>
        <v>2026</v>
      </c>
      <c r="H319" s="2">
        <f t="shared" si="22"/>
        <v>4</v>
      </c>
      <c r="I319" s="2">
        <f t="shared" si="19"/>
        <v>2</v>
      </c>
    </row>
    <row r="320" spans="1:9" x14ac:dyDescent="0.25">
      <c r="A320" s="13" t="s">
        <v>83</v>
      </c>
      <c r="B320" s="2" t="s">
        <v>14</v>
      </c>
      <c r="C320" s="21" t="s">
        <v>13</v>
      </c>
      <c r="D320" s="16"/>
      <c r="E320" s="17">
        <v>715.5</v>
      </c>
      <c r="F320" s="3">
        <f t="shared" si="20"/>
        <v>-715.5</v>
      </c>
      <c r="G320" s="2">
        <f t="shared" si="21"/>
        <v>2026</v>
      </c>
      <c r="H320" s="2">
        <f t="shared" si="22"/>
        <v>4</v>
      </c>
      <c r="I320" s="2">
        <f t="shared" si="19"/>
        <v>2</v>
      </c>
    </row>
    <row r="321" spans="1:9" x14ac:dyDescent="0.25">
      <c r="A321" s="13" t="s">
        <v>83</v>
      </c>
      <c r="B321" s="2" t="s">
        <v>14</v>
      </c>
      <c r="C321" s="21" t="s">
        <v>13</v>
      </c>
      <c r="D321" s="16"/>
      <c r="E321" s="15">
        <v>4520.7</v>
      </c>
      <c r="F321" s="3">
        <f t="shared" si="20"/>
        <v>-4520.7</v>
      </c>
      <c r="G321" s="2">
        <f t="shared" si="21"/>
        <v>2026</v>
      </c>
      <c r="H321" s="2">
        <f t="shared" si="22"/>
        <v>4</v>
      </c>
      <c r="I321" s="2">
        <f t="shared" si="19"/>
        <v>2</v>
      </c>
    </row>
    <row r="322" spans="1:9" x14ac:dyDescent="0.25">
      <c r="A322" s="13" t="s">
        <v>83</v>
      </c>
      <c r="B322" s="2" t="s">
        <v>14</v>
      </c>
      <c r="C322" s="21" t="s">
        <v>13</v>
      </c>
      <c r="D322" s="16"/>
      <c r="E322" s="15">
        <v>750</v>
      </c>
      <c r="F322" s="3">
        <f t="shared" si="20"/>
        <v>-750</v>
      </c>
      <c r="G322" s="2">
        <f t="shared" si="21"/>
        <v>2026</v>
      </c>
      <c r="H322" s="2">
        <f t="shared" si="22"/>
        <v>4</v>
      </c>
      <c r="I322" s="2">
        <f t="shared" si="19"/>
        <v>2</v>
      </c>
    </row>
    <row r="323" spans="1:9" x14ac:dyDescent="0.25">
      <c r="A323" s="13" t="s">
        <v>83</v>
      </c>
      <c r="B323" s="2" t="s">
        <v>14</v>
      </c>
      <c r="C323" s="21" t="s">
        <v>13</v>
      </c>
      <c r="D323" s="16"/>
      <c r="E323" s="15">
        <v>2812.5</v>
      </c>
      <c r="F323" s="3">
        <f t="shared" si="20"/>
        <v>-2812.5</v>
      </c>
      <c r="G323" s="2">
        <f t="shared" si="21"/>
        <v>2026</v>
      </c>
      <c r="H323" s="2">
        <f t="shared" si="22"/>
        <v>4</v>
      </c>
      <c r="I323" s="2">
        <f t="shared" si="19"/>
        <v>2</v>
      </c>
    </row>
    <row r="324" spans="1:9" x14ac:dyDescent="0.25">
      <c r="A324" s="13" t="s">
        <v>83</v>
      </c>
      <c r="B324" s="2" t="s">
        <v>14</v>
      </c>
      <c r="C324" s="21" t="s">
        <v>13</v>
      </c>
      <c r="D324" s="16"/>
      <c r="E324" s="15">
        <v>1500</v>
      </c>
      <c r="F324" s="3">
        <f t="shared" si="20"/>
        <v>-1500</v>
      </c>
      <c r="G324" s="2">
        <f t="shared" si="21"/>
        <v>2026</v>
      </c>
      <c r="H324" s="2">
        <f t="shared" si="22"/>
        <v>4</v>
      </c>
      <c r="I324" s="2">
        <f t="shared" ref="I324:I387" si="23">ROUNDUP(H324/3,0)</f>
        <v>2</v>
      </c>
    </row>
    <row r="325" spans="1:9" x14ac:dyDescent="0.25">
      <c r="A325" s="13" t="s">
        <v>83</v>
      </c>
      <c r="B325" s="2" t="s">
        <v>14</v>
      </c>
      <c r="C325" s="21" t="s">
        <v>13</v>
      </c>
      <c r="D325" s="15"/>
      <c r="E325" s="16">
        <v>1461.75</v>
      </c>
      <c r="F325" s="3">
        <f t="shared" ref="F325:F388" si="24">D325-E325</f>
        <v>-1461.75</v>
      </c>
      <c r="G325" s="2">
        <f t="shared" ref="G325:G388" si="25">YEAR(A325)</f>
        <v>2026</v>
      </c>
      <c r="H325" s="2">
        <f t="shared" ref="H325:H388" si="26">MONTH(A325)</f>
        <v>4</v>
      </c>
      <c r="I325" s="2">
        <f t="shared" si="23"/>
        <v>2</v>
      </c>
    </row>
    <row r="326" spans="1:9" x14ac:dyDescent="0.25">
      <c r="A326" s="13" t="s">
        <v>83</v>
      </c>
      <c r="B326" s="2" t="s">
        <v>14</v>
      </c>
      <c r="C326" s="21" t="s">
        <v>13</v>
      </c>
      <c r="D326" s="15"/>
      <c r="E326" s="16">
        <v>1752</v>
      </c>
      <c r="F326" s="3">
        <f t="shared" si="24"/>
        <v>-1752</v>
      </c>
      <c r="G326" s="2">
        <f t="shared" si="25"/>
        <v>2026</v>
      </c>
      <c r="H326" s="2">
        <f t="shared" si="26"/>
        <v>4</v>
      </c>
      <c r="I326" s="2">
        <f t="shared" si="23"/>
        <v>2</v>
      </c>
    </row>
    <row r="327" spans="1:9" x14ac:dyDescent="0.25">
      <c r="A327" s="13" t="s">
        <v>84</v>
      </c>
      <c r="B327" s="2" t="s">
        <v>10</v>
      </c>
      <c r="C327" s="21" t="s">
        <v>13</v>
      </c>
      <c r="D327" s="15">
        <v>8530.65</v>
      </c>
      <c r="E327" s="16"/>
      <c r="F327" s="3">
        <f t="shared" si="24"/>
        <v>8530.65</v>
      </c>
      <c r="G327" s="2">
        <f t="shared" si="25"/>
        <v>2026</v>
      </c>
      <c r="H327" s="2">
        <f t="shared" si="26"/>
        <v>4</v>
      </c>
      <c r="I327" s="2">
        <f t="shared" si="23"/>
        <v>2</v>
      </c>
    </row>
    <row r="328" spans="1:9" x14ac:dyDescent="0.25">
      <c r="A328" s="13" t="s">
        <v>84</v>
      </c>
      <c r="B328" s="2" t="s">
        <v>10</v>
      </c>
      <c r="C328" s="21" t="s">
        <v>13</v>
      </c>
      <c r="D328" s="15">
        <v>10800</v>
      </c>
      <c r="E328" s="16"/>
      <c r="F328" s="3">
        <f t="shared" si="24"/>
        <v>10800</v>
      </c>
      <c r="G328" s="2">
        <f t="shared" si="25"/>
        <v>2026</v>
      </c>
      <c r="H328" s="2">
        <f t="shared" si="26"/>
        <v>4</v>
      </c>
      <c r="I328" s="2">
        <f t="shared" si="23"/>
        <v>2</v>
      </c>
    </row>
    <row r="329" spans="1:9" x14ac:dyDescent="0.25">
      <c r="A329" s="13" t="s">
        <v>84</v>
      </c>
      <c r="B329" s="2" t="s">
        <v>10</v>
      </c>
      <c r="C329" s="21" t="s">
        <v>13</v>
      </c>
      <c r="D329" s="17">
        <v>2841.51</v>
      </c>
      <c r="E329" s="16"/>
      <c r="F329" s="3">
        <f t="shared" si="24"/>
        <v>2841.51</v>
      </c>
      <c r="G329" s="2">
        <f t="shared" si="25"/>
        <v>2026</v>
      </c>
      <c r="H329" s="2">
        <f t="shared" si="26"/>
        <v>4</v>
      </c>
      <c r="I329" s="2">
        <f t="shared" si="23"/>
        <v>2</v>
      </c>
    </row>
    <row r="330" spans="1:9" x14ac:dyDescent="0.25">
      <c r="A330" s="13" t="s">
        <v>84</v>
      </c>
      <c r="B330" s="2" t="s">
        <v>10</v>
      </c>
      <c r="C330" s="23" t="s">
        <v>13</v>
      </c>
      <c r="D330" s="15">
        <v>1020</v>
      </c>
      <c r="E330" s="16"/>
      <c r="F330" s="3">
        <f t="shared" si="24"/>
        <v>1020</v>
      </c>
      <c r="G330" s="2">
        <f t="shared" si="25"/>
        <v>2026</v>
      </c>
      <c r="H330" s="2">
        <f t="shared" si="26"/>
        <v>4</v>
      </c>
      <c r="I330" s="2">
        <f t="shared" si="23"/>
        <v>2</v>
      </c>
    </row>
    <row r="331" spans="1:9" x14ac:dyDescent="0.25">
      <c r="A331" s="13" t="s">
        <v>84</v>
      </c>
      <c r="B331" s="2" t="s">
        <v>10</v>
      </c>
      <c r="C331" s="23" t="s">
        <v>13</v>
      </c>
      <c r="D331" s="15">
        <v>480.93</v>
      </c>
      <c r="E331" s="16"/>
      <c r="F331" s="3">
        <f t="shared" si="24"/>
        <v>480.93</v>
      </c>
      <c r="G331" s="2">
        <f t="shared" si="25"/>
        <v>2026</v>
      </c>
      <c r="H331" s="2">
        <f t="shared" si="26"/>
        <v>4</v>
      </c>
      <c r="I331" s="2">
        <f t="shared" si="23"/>
        <v>2</v>
      </c>
    </row>
    <row r="332" spans="1:9" x14ac:dyDescent="0.25">
      <c r="A332" s="13" t="s">
        <v>84</v>
      </c>
      <c r="B332" s="2" t="s">
        <v>10</v>
      </c>
      <c r="C332" s="23" t="s">
        <v>11</v>
      </c>
      <c r="D332" s="15">
        <v>56871</v>
      </c>
      <c r="E332" s="16"/>
      <c r="F332" s="3">
        <f t="shared" si="24"/>
        <v>56871</v>
      </c>
      <c r="G332" s="2">
        <f t="shared" si="25"/>
        <v>2026</v>
      </c>
      <c r="H332" s="2">
        <f t="shared" si="26"/>
        <v>4</v>
      </c>
      <c r="I332" s="2">
        <f t="shared" si="23"/>
        <v>2</v>
      </c>
    </row>
    <row r="333" spans="1:9" x14ac:dyDescent="0.25">
      <c r="A333" s="13" t="s">
        <v>84</v>
      </c>
      <c r="B333" s="2" t="s">
        <v>10</v>
      </c>
      <c r="C333" s="23" t="s">
        <v>11</v>
      </c>
      <c r="D333" s="15">
        <v>72000</v>
      </c>
      <c r="E333" s="16"/>
      <c r="F333" s="3">
        <f t="shared" si="24"/>
        <v>72000</v>
      </c>
      <c r="G333" s="2">
        <f t="shared" si="25"/>
        <v>2026</v>
      </c>
      <c r="H333" s="2">
        <f t="shared" si="26"/>
        <v>4</v>
      </c>
      <c r="I333" s="2">
        <f t="shared" si="23"/>
        <v>2</v>
      </c>
    </row>
    <row r="334" spans="1:9" x14ac:dyDescent="0.25">
      <c r="A334" s="13" t="s">
        <v>84</v>
      </c>
      <c r="B334" s="2" t="s">
        <v>10</v>
      </c>
      <c r="C334" s="23" t="s">
        <v>11</v>
      </c>
      <c r="D334" s="15">
        <v>18943.400000000001</v>
      </c>
      <c r="E334" s="16"/>
      <c r="F334" s="3">
        <f t="shared" si="24"/>
        <v>18943.400000000001</v>
      </c>
      <c r="G334" s="2">
        <f t="shared" si="25"/>
        <v>2026</v>
      </c>
      <c r="H334" s="2">
        <f t="shared" si="26"/>
        <v>4</v>
      </c>
      <c r="I334" s="2">
        <f t="shared" si="23"/>
        <v>2</v>
      </c>
    </row>
    <row r="335" spans="1:9" x14ac:dyDescent="0.25">
      <c r="A335" s="13" t="s">
        <v>84</v>
      </c>
      <c r="B335" s="2" t="s">
        <v>10</v>
      </c>
      <c r="C335" s="18" t="s">
        <v>11</v>
      </c>
      <c r="D335" s="15">
        <v>6800</v>
      </c>
      <c r="E335" s="16"/>
      <c r="F335" s="3">
        <f t="shared" si="24"/>
        <v>6800</v>
      </c>
      <c r="G335" s="2">
        <f t="shared" si="25"/>
        <v>2026</v>
      </c>
      <c r="H335" s="2">
        <f t="shared" si="26"/>
        <v>4</v>
      </c>
      <c r="I335" s="2">
        <f t="shared" si="23"/>
        <v>2</v>
      </c>
    </row>
    <row r="336" spans="1:9" x14ac:dyDescent="0.25">
      <c r="A336" s="13" t="s">
        <v>84</v>
      </c>
      <c r="B336" s="2" t="s">
        <v>10</v>
      </c>
      <c r="C336" s="23" t="s">
        <v>11</v>
      </c>
      <c r="D336" s="15">
        <v>3206.25</v>
      </c>
      <c r="E336" s="16"/>
      <c r="F336" s="3">
        <f t="shared" si="24"/>
        <v>3206.25</v>
      </c>
      <c r="G336" s="2">
        <f t="shared" si="25"/>
        <v>2026</v>
      </c>
      <c r="H336" s="2">
        <f t="shared" si="26"/>
        <v>4</v>
      </c>
      <c r="I336" s="2">
        <f t="shared" si="23"/>
        <v>2</v>
      </c>
    </row>
    <row r="337" spans="1:9" x14ac:dyDescent="0.25">
      <c r="A337" s="13" t="s">
        <v>84</v>
      </c>
      <c r="B337" s="2" t="s">
        <v>10</v>
      </c>
      <c r="C337" s="23" t="s">
        <v>12</v>
      </c>
      <c r="D337" s="15">
        <v>5825.57</v>
      </c>
      <c r="E337" s="16"/>
      <c r="F337" s="3">
        <f t="shared" si="24"/>
        <v>5825.57</v>
      </c>
      <c r="G337" s="2">
        <f t="shared" si="25"/>
        <v>2026</v>
      </c>
      <c r="H337" s="2">
        <f t="shared" si="26"/>
        <v>4</v>
      </c>
      <c r="I337" s="2">
        <f t="shared" si="23"/>
        <v>2</v>
      </c>
    </row>
    <row r="338" spans="1:9" x14ac:dyDescent="0.25">
      <c r="A338" s="13" t="s">
        <v>84</v>
      </c>
      <c r="B338" s="2" t="s">
        <v>10</v>
      </c>
      <c r="C338" s="23" t="s">
        <v>11</v>
      </c>
      <c r="D338" s="15">
        <v>48568.75</v>
      </c>
      <c r="E338" s="16"/>
      <c r="F338" s="3">
        <f t="shared" si="24"/>
        <v>48568.75</v>
      </c>
      <c r="G338" s="2">
        <f t="shared" si="25"/>
        <v>2026</v>
      </c>
      <c r="H338" s="2">
        <f t="shared" si="26"/>
        <v>4</v>
      </c>
      <c r="I338" s="2">
        <f t="shared" si="23"/>
        <v>2</v>
      </c>
    </row>
    <row r="339" spans="1:9" x14ac:dyDescent="0.25">
      <c r="A339" s="13" t="s">
        <v>84</v>
      </c>
      <c r="B339" s="2" t="s">
        <v>10</v>
      </c>
      <c r="C339" s="21" t="s">
        <v>22</v>
      </c>
      <c r="D339" s="16">
        <v>90367.12</v>
      </c>
      <c r="E339" s="15"/>
      <c r="F339" s="3">
        <f t="shared" si="24"/>
        <v>90367.12</v>
      </c>
      <c r="G339" s="2">
        <f t="shared" si="25"/>
        <v>2026</v>
      </c>
      <c r="H339" s="2">
        <f t="shared" si="26"/>
        <v>4</v>
      </c>
      <c r="I339" s="2">
        <f t="shared" si="23"/>
        <v>2</v>
      </c>
    </row>
    <row r="340" spans="1:9" x14ac:dyDescent="0.25">
      <c r="A340" s="13" t="s">
        <v>84</v>
      </c>
      <c r="B340" s="2" t="s">
        <v>10</v>
      </c>
      <c r="C340" s="18" t="s">
        <v>23</v>
      </c>
      <c r="D340" s="16">
        <v>10000000</v>
      </c>
      <c r="E340" s="15"/>
      <c r="F340" s="3">
        <f t="shared" si="24"/>
        <v>10000000</v>
      </c>
      <c r="G340" s="2">
        <f t="shared" si="25"/>
        <v>2026</v>
      </c>
      <c r="H340" s="2">
        <f t="shared" si="26"/>
        <v>4</v>
      </c>
      <c r="I340" s="2">
        <f t="shared" si="23"/>
        <v>2</v>
      </c>
    </row>
    <row r="341" spans="1:9" x14ac:dyDescent="0.25">
      <c r="A341" s="13" t="s">
        <v>84</v>
      </c>
      <c r="B341" s="2" t="s">
        <v>14</v>
      </c>
      <c r="C341" s="21" t="s">
        <v>13</v>
      </c>
      <c r="D341" s="16"/>
      <c r="E341" s="15">
        <v>8530.65</v>
      </c>
      <c r="F341" s="3">
        <f t="shared" si="24"/>
        <v>-8530.65</v>
      </c>
      <c r="G341" s="2">
        <f t="shared" si="25"/>
        <v>2026</v>
      </c>
      <c r="H341" s="2">
        <f t="shared" si="26"/>
        <v>4</v>
      </c>
      <c r="I341" s="2">
        <f t="shared" si="23"/>
        <v>2</v>
      </c>
    </row>
    <row r="342" spans="1:9" x14ac:dyDescent="0.25">
      <c r="A342" s="13" t="s">
        <v>84</v>
      </c>
      <c r="B342" s="2" t="s">
        <v>14</v>
      </c>
      <c r="C342" s="21" t="s">
        <v>19</v>
      </c>
      <c r="D342" s="16"/>
      <c r="E342" s="15">
        <v>2230</v>
      </c>
      <c r="F342" s="3">
        <f t="shared" si="24"/>
        <v>-2230</v>
      </c>
      <c r="G342" s="2">
        <f t="shared" si="25"/>
        <v>2026</v>
      </c>
      <c r="H342" s="2">
        <f t="shared" si="26"/>
        <v>4</v>
      </c>
      <c r="I342" s="2">
        <f t="shared" si="23"/>
        <v>2</v>
      </c>
    </row>
    <row r="343" spans="1:9" x14ac:dyDescent="0.25">
      <c r="A343" s="13" t="s">
        <v>84</v>
      </c>
      <c r="B343" s="2" t="s">
        <v>14</v>
      </c>
      <c r="C343" s="18" t="s">
        <v>17</v>
      </c>
      <c r="D343" s="16"/>
      <c r="E343" s="15">
        <v>63400</v>
      </c>
      <c r="F343" s="3">
        <f t="shared" si="24"/>
        <v>-63400</v>
      </c>
      <c r="G343" s="2">
        <f t="shared" si="25"/>
        <v>2026</v>
      </c>
      <c r="H343" s="2">
        <f t="shared" si="26"/>
        <v>4</v>
      </c>
      <c r="I343" s="2">
        <f t="shared" si="23"/>
        <v>2</v>
      </c>
    </row>
    <row r="344" spans="1:9" x14ac:dyDescent="0.25">
      <c r="A344" s="13" t="s">
        <v>84</v>
      </c>
      <c r="B344" s="2" t="s">
        <v>14</v>
      </c>
      <c r="C344" s="21" t="s">
        <v>13</v>
      </c>
      <c r="D344" s="16"/>
      <c r="E344" s="15">
        <v>10800</v>
      </c>
      <c r="F344" s="3">
        <f t="shared" si="24"/>
        <v>-10800</v>
      </c>
      <c r="G344" s="2">
        <f t="shared" si="25"/>
        <v>2026</v>
      </c>
      <c r="H344" s="2">
        <f t="shared" si="26"/>
        <v>4</v>
      </c>
      <c r="I344" s="2">
        <f t="shared" si="23"/>
        <v>2</v>
      </c>
    </row>
    <row r="345" spans="1:9" x14ac:dyDescent="0.25">
      <c r="A345" s="13" t="s">
        <v>84</v>
      </c>
      <c r="B345" s="2" t="s">
        <v>14</v>
      </c>
      <c r="C345" s="21" t="s">
        <v>25</v>
      </c>
      <c r="D345" s="16"/>
      <c r="E345" s="15">
        <v>13456</v>
      </c>
      <c r="F345" s="3">
        <f t="shared" si="24"/>
        <v>-13456</v>
      </c>
      <c r="G345" s="2">
        <f t="shared" si="25"/>
        <v>2026</v>
      </c>
      <c r="H345" s="2">
        <f t="shared" si="26"/>
        <v>4</v>
      </c>
      <c r="I345" s="2">
        <f t="shared" si="23"/>
        <v>2</v>
      </c>
    </row>
    <row r="346" spans="1:9" x14ac:dyDescent="0.25">
      <c r="A346" s="13" t="s">
        <v>84</v>
      </c>
      <c r="B346" s="2" t="s">
        <v>14</v>
      </c>
      <c r="C346" s="26" t="s">
        <v>13</v>
      </c>
      <c r="D346" s="16"/>
      <c r="E346" s="15">
        <v>2841.51</v>
      </c>
      <c r="F346" s="3">
        <f t="shared" si="24"/>
        <v>-2841.51</v>
      </c>
      <c r="G346" s="2">
        <f t="shared" si="25"/>
        <v>2026</v>
      </c>
      <c r="H346" s="2">
        <f t="shared" si="26"/>
        <v>4</v>
      </c>
      <c r="I346" s="2">
        <f t="shared" si="23"/>
        <v>2</v>
      </c>
    </row>
    <row r="347" spans="1:9" x14ac:dyDescent="0.25">
      <c r="A347" s="13" t="s">
        <v>84</v>
      </c>
      <c r="B347" s="2" t="s">
        <v>14</v>
      </c>
      <c r="C347" s="18" t="s">
        <v>13</v>
      </c>
      <c r="D347" s="16"/>
      <c r="E347" s="15">
        <v>1020</v>
      </c>
      <c r="F347" s="3">
        <f t="shared" si="24"/>
        <v>-1020</v>
      </c>
      <c r="G347" s="2">
        <f t="shared" si="25"/>
        <v>2026</v>
      </c>
      <c r="H347" s="2">
        <f t="shared" si="26"/>
        <v>4</v>
      </c>
      <c r="I347" s="2">
        <f t="shared" si="23"/>
        <v>2</v>
      </c>
    </row>
    <row r="348" spans="1:9" x14ac:dyDescent="0.25">
      <c r="A348" s="13" t="s">
        <v>84</v>
      </c>
      <c r="B348" s="2" t="s">
        <v>14</v>
      </c>
      <c r="C348" s="26" t="s">
        <v>101</v>
      </c>
      <c r="D348" s="16"/>
      <c r="E348" s="15">
        <v>34627</v>
      </c>
      <c r="F348" s="3">
        <f t="shared" si="24"/>
        <v>-34627</v>
      </c>
      <c r="G348" s="2">
        <f t="shared" si="25"/>
        <v>2026</v>
      </c>
      <c r="H348" s="2">
        <f t="shared" si="26"/>
        <v>4</v>
      </c>
      <c r="I348" s="2">
        <f t="shared" si="23"/>
        <v>2</v>
      </c>
    </row>
    <row r="349" spans="1:9" x14ac:dyDescent="0.25">
      <c r="A349" s="13" t="s">
        <v>84</v>
      </c>
      <c r="B349" s="2" t="s">
        <v>14</v>
      </c>
      <c r="C349" s="18" t="s">
        <v>17</v>
      </c>
      <c r="D349" s="16"/>
      <c r="E349" s="17">
        <v>22270.18</v>
      </c>
      <c r="F349" s="3">
        <f t="shared" si="24"/>
        <v>-22270.18</v>
      </c>
      <c r="G349" s="2">
        <f t="shared" si="25"/>
        <v>2026</v>
      </c>
      <c r="H349" s="2">
        <f t="shared" si="26"/>
        <v>4</v>
      </c>
      <c r="I349" s="2">
        <f t="shared" si="23"/>
        <v>2</v>
      </c>
    </row>
    <row r="350" spans="1:9" x14ac:dyDescent="0.25">
      <c r="A350" s="13" t="s">
        <v>84</v>
      </c>
      <c r="B350" s="2" t="s">
        <v>14</v>
      </c>
      <c r="C350" s="21" t="s">
        <v>20</v>
      </c>
      <c r="D350" s="15"/>
      <c r="E350" s="16">
        <v>45000</v>
      </c>
      <c r="F350" s="3">
        <f t="shared" si="24"/>
        <v>-45000</v>
      </c>
      <c r="G350" s="2">
        <f t="shared" si="25"/>
        <v>2026</v>
      </c>
      <c r="H350" s="2">
        <f t="shared" si="26"/>
        <v>4</v>
      </c>
      <c r="I350" s="2">
        <f t="shared" si="23"/>
        <v>2</v>
      </c>
    </row>
    <row r="351" spans="1:9" x14ac:dyDescent="0.25">
      <c r="A351" s="13" t="s">
        <v>84</v>
      </c>
      <c r="B351" s="2" t="s">
        <v>14</v>
      </c>
      <c r="C351" s="23" t="s">
        <v>13</v>
      </c>
      <c r="D351" s="15"/>
      <c r="E351" s="16">
        <v>480.93</v>
      </c>
      <c r="F351" s="3">
        <f t="shared" si="24"/>
        <v>-480.93</v>
      </c>
      <c r="G351" s="2">
        <f t="shared" si="25"/>
        <v>2026</v>
      </c>
      <c r="H351" s="2">
        <f t="shared" si="26"/>
        <v>4</v>
      </c>
      <c r="I351" s="2">
        <f t="shared" si="23"/>
        <v>2</v>
      </c>
    </row>
    <row r="352" spans="1:9" x14ac:dyDescent="0.25">
      <c r="A352" s="13" t="s">
        <v>85</v>
      </c>
      <c r="B352" s="2" t="s">
        <v>10</v>
      </c>
      <c r="C352" s="21" t="s">
        <v>13</v>
      </c>
      <c r="D352" s="16">
        <v>7290</v>
      </c>
      <c r="E352" s="15"/>
      <c r="F352" s="3">
        <f t="shared" si="24"/>
        <v>7290</v>
      </c>
      <c r="G352" s="2">
        <f t="shared" si="25"/>
        <v>2026</v>
      </c>
      <c r="H352" s="2">
        <f t="shared" si="26"/>
        <v>4</v>
      </c>
      <c r="I352" s="2">
        <f t="shared" si="23"/>
        <v>2</v>
      </c>
    </row>
    <row r="353" spans="1:9" x14ac:dyDescent="0.25">
      <c r="A353" s="13" t="s">
        <v>85</v>
      </c>
      <c r="B353" s="2" t="s">
        <v>10</v>
      </c>
      <c r="C353" s="18" t="s">
        <v>11</v>
      </c>
      <c r="D353" s="16">
        <v>48600</v>
      </c>
      <c r="E353" s="15"/>
      <c r="F353" s="3">
        <f t="shared" si="24"/>
        <v>48600</v>
      </c>
      <c r="G353" s="2">
        <f t="shared" si="25"/>
        <v>2026</v>
      </c>
      <c r="H353" s="2">
        <f t="shared" si="26"/>
        <v>4</v>
      </c>
      <c r="I353" s="2">
        <f t="shared" si="23"/>
        <v>2</v>
      </c>
    </row>
    <row r="354" spans="1:9" x14ac:dyDescent="0.25">
      <c r="A354" s="13" t="s">
        <v>85</v>
      </c>
      <c r="B354" s="2" t="s">
        <v>14</v>
      </c>
      <c r="C354" s="18" t="s">
        <v>13</v>
      </c>
      <c r="D354" s="16"/>
      <c r="E354" s="15">
        <v>7290</v>
      </c>
      <c r="F354" s="3">
        <f t="shared" si="24"/>
        <v>-7290</v>
      </c>
      <c r="G354" s="2">
        <f t="shared" si="25"/>
        <v>2026</v>
      </c>
      <c r="H354" s="2">
        <f t="shared" si="26"/>
        <v>4</v>
      </c>
      <c r="I354" s="2">
        <f t="shared" si="23"/>
        <v>2</v>
      </c>
    </row>
    <row r="355" spans="1:9" x14ac:dyDescent="0.25">
      <c r="A355" s="13" t="s">
        <v>85</v>
      </c>
      <c r="B355" s="2" t="s">
        <v>14</v>
      </c>
      <c r="C355" s="18" t="s">
        <v>18</v>
      </c>
      <c r="D355" s="15"/>
      <c r="E355" s="16">
        <v>2534.4</v>
      </c>
      <c r="F355" s="3">
        <f t="shared" si="24"/>
        <v>-2534.4</v>
      </c>
      <c r="G355" s="2">
        <f t="shared" si="25"/>
        <v>2026</v>
      </c>
      <c r="H355" s="2">
        <f t="shared" si="26"/>
        <v>4</v>
      </c>
      <c r="I355" s="2">
        <f t="shared" si="23"/>
        <v>2</v>
      </c>
    </row>
    <row r="356" spans="1:9" x14ac:dyDescent="0.25">
      <c r="A356" s="13" t="s">
        <v>86</v>
      </c>
      <c r="B356" s="2" t="s">
        <v>14</v>
      </c>
      <c r="C356" s="23" t="s">
        <v>18</v>
      </c>
      <c r="D356" s="15"/>
      <c r="E356" s="16">
        <v>4686</v>
      </c>
      <c r="F356" s="3">
        <f t="shared" si="24"/>
        <v>-4686</v>
      </c>
      <c r="G356" s="2">
        <f t="shared" si="25"/>
        <v>2026</v>
      </c>
      <c r="H356" s="2">
        <f t="shared" si="26"/>
        <v>4</v>
      </c>
      <c r="I356" s="2">
        <f t="shared" si="23"/>
        <v>2</v>
      </c>
    </row>
    <row r="357" spans="1:9" x14ac:dyDescent="0.25">
      <c r="A357" s="13" t="s">
        <v>87</v>
      </c>
      <c r="B357" s="2" t="s">
        <v>10</v>
      </c>
      <c r="C357" s="23" t="s">
        <v>12</v>
      </c>
      <c r="D357" s="15">
        <v>2115.2800000000002</v>
      </c>
      <c r="E357" s="16"/>
      <c r="F357" s="3">
        <f t="shared" si="24"/>
        <v>2115.2800000000002</v>
      </c>
      <c r="G357" s="2">
        <f t="shared" si="25"/>
        <v>2026</v>
      </c>
      <c r="H357" s="2">
        <f t="shared" si="26"/>
        <v>4</v>
      </c>
      <c r="I357" s="2">
        <f t="shared" si="23"/>
        <v>2</v>
      </c>
    </row>
    <row r="358" spans="1:9" x14ac:dyDescent="0.25">
      <c r="A358" s="13" t="s">
        <v>87</v>
      </c>
      <c r="B358" s="2" t="s">
        <v>10</v>
      </c>
      <c r="C358" s="23" t="s">
        <v>11</v>
      </c>
      <c r="D358" s="15">
        <v>27000</v>
      </c>
      <c r="E358" s="16"/>
      <c r="F358" s="3">
        <f t="shared" si="24"/>
        <v>27000</v>
      </c>
      <c r="G358" s="2">
        <f t="shared" si="25"/>
        <v>2026</v>
      </c>
      <c r="H358" s="2">
        <f t="shared" si="26"/>
        <v>4</v>
      </c>
      <c r="I358" s="2">
        <f t="shared" si="23"/>
        <v>2</v>
      </c>
    </row>
    <row r="359" spans="1:9" x14ac:dyDescent="0.25">
      <c r="A359" s="13" t="s">
        <v>87</v>
      </c>
      <c r="B359" s="2" t="s">
        <v>10</v>
      </c>
      <c r="C359" s="19" t="s">
        <v>11</v>
      </c>
      <c r="D359" s="15">
        <v>11900</v>
      </c>
      <c r="E359" s="16"/>
      <c r="F359" s="3">
        <f t="shared" si="24"/>
        <v>11900</v>
      </c>
      <c r="G359" s="2">
        <f t="shared" si="25"/>
        <v>2026</v>
      </c>
      <c r="H359" s="2">
        <f t="shared" si="26"/>
        <v>4</v>
      </c>
      <c r="I359" s="2">
        <f t="shared" si="23"/>
        <v>2</v>
      </c>
    </row>
    <row r="360" spans="1:9" x14ac:dyDescent="0.25">
      <c r="A360" s="13" t="s">
        <v>87</v>
      </c>
      <c r="B360" s="2" t="s">
        <v>10</v>
      </c>
      <c r="C360" s="19" t="s">
        <v>11</v>
      </c>
      <c r="D360" s="15">
        <v>52460</v>
      </c>
      <c r="E360" s="16"/>
      <c r="F360" s="3">
        <f t="shared" si="24"/>
        <v>52460</v>
      </c>
      <c r="G360" s="2">
        <f t="shared" si="25"/>
        <v>2026</v>
      </c>
      <c r="H360" s="2">
        <f t="shared" si="26"/>
        <v>4</v>
      </c>
      <c r="I360" s="2">
        <f t="shared" si="23"/>
        <v>2</v>
      </c>
    </row>
    <row r="361" spans="1:9" x14ac:dyDescent="0.25">
      <c r="A361" s="13" t="s">
        <v>87</v>
      </c>
      <c r="B361" s="2" t="s">
        <v>10</v>
      </c>
      <c r="C361" s="19" t="s">
        <v>13</v>
      </c>
      <c r="D361" s="15">
        <v>4050</v>
      </c>
      <c r="E361" s="16"/>
      <c r="F361" s="3">
        <f t="shared" si="24"/>
        <v>4050</v>
      </c>
      <c r="G361" s="2">
        <f t="shared" si="25"/>
        <v>2026</v>
      </c>
      <c r="H361" s="2">
        <f t="shared" si="26"/>
        <v>4</v>
      </c>
      <c r="I361" s="2">
        <f t="shared" si="23"/>
        <v>2</v>
      </c>
    </row>
    <row r="362" spans="1:9" x14ac:dyDescent="0.25">
      <c r="A362" s="13" t="s">
        <v>87</v>
      </c>
      <c r="B362" s="2" t="s">
        <v>10</v>
      </c>
      <c r="C362" s="23" t="s">
        <v>13</v>
      </c>
      <c r="D362" s="16">
        <v>1785</v>
      </c>
      <c r="E362" s="15"/>
      <c r="F362" s="3">
        <f t="shared" si="24"/>
        <v>1785</v>
      </c>
      <c r="G362" s="2">
        <f t="shared" si="25"/>
        <v>2026</v>
      </c>
      <c r="H362" s="2">
        <f t="shared" si="26"/>
        <v>4</v>
      </c>
      <c r="I362" s="2">
        <f t="shared" si="23"/>
        <v>2</v>
      </c>
    </row>
    <row r="363" spans="1:9" x14ac:dyDescent="0.25">
      <c r="A363" s="13" t="s">
        <v>87</v>
      </c>
      <c r="B363" s="2" t="s">
        <v>10</v>
      </c>
      <c r="C363" s="21" t="s">
        <v>13</v>
      </c>
      <c r="D363" s="16">
        <v>7869</v>
      </c>
      <c r="E363" s="15"/>
      <c r="F363" s="3">
        <f t="shared" si="24"/>
        <v>7869</v>
      </c>
      <c r="G363" s="2">
        <f t="shared" si="25"/>
        <v>2026</v>
      </c>
      <c r="H363" s="2">
        <f t="shared" si="26"/>
        <v>4</v>
      </c>
      <c r="I363" s="2">
        <f t="shared" si="23"/>
        <v>2</v>
      </c>
    </row>
    <row r="364" spans="1:9" x14ac:dyDescent="0.25">
      <c r="A364" s="13" t="s">
        <v>87</v>
      </c>
      <c r="B364" s="2" t="s">
        <v>14</v>
      </c>
      <c r="C364" s="21" t="s">
        <v>23</v>
      </c>
      <c r="D364" s="16"/>
      <c r="E364" s="15">
        <v>10000000</v>
      </c>
      <c r="F364" s="3">
        <f t="shared" si="24"/>
        <v>-10000000</v>
      </c>
      <c r="G364" s="2">
        <f t="shared" si="25"/>
        <v>2026</v>
      </c>
      <c r="H364" s="2">
        <f t="shared" si="26"/>
        <v>4</v>
      </c>
      <c r="I364" s="2">
        <f t="shared" si="23"/>
        <v>2</v>
      </c>
    </row>
    <row r="365" spans="1:9" x14ac:dyDescent="0.25">
      <c r="A365" s="13" t="s">
        <v>87</v>
      </c>
      <c r="B365" s="2" t="s">
        <v>14</v>
      </c>
      <c r="C365" s="21" t="s">
        <v>13</v>
      </c>
      <c r="D365" s="16"/>
      <c r="E365" s="15">
        <v>4050</v>
      </c>
      <c r="F365" s="3">
        <f t="shared" si="24"/>
        <v>-4050</v>
      </c>
      <c r="G365" s="2">
        <f t="shared" si="25"/>
        <v>2026</v>
      </c>
      <c r="H365" s="2">
        <f t="shared" si="26"/>
        <v>4</v>
      </c>
      <c r="I365" s="2">
        <f t="shared" si="23"/>
        <v>2</v>
      </c>
    </row>
    <row r="366" spans="1:9" x14ac:dyDescent="0.25">
      <c r="A366" s="13" t="s">
        <v>87</v>
      </c>
      <c r="B366" s="2" t="s">
        <v>14</v>
      </c>
      <c r="C366" s="18" t="s">
        <v>13</v>
      </c>
      <c r="D366" s="16"/>
      <c r="E366" s="15">
        <v>1785</v>
      </c>
      <c r="F366" s="3">
        <f t="shared" si="24"/>
        <v>-1785</v>
      </c>
      <c r="G366" s="2">
        <f t="shared" si="25"/>
        <v>2026</v>
      </c>
      <c r="H366" s="2">
        <f t="shared" si="26"/>
        <v>4</v>
      </c>
      <c r="I366" s="2">
        <f t="shared" si="23"/>
        <v>2</v>
      </c>
    </row>
    <row r="367" spans="1:9" x14ac:dyDescent="0.25">
      <c r="A367" s="13" t="s">
        <v>87</v>
      </c>
      <c r="B367" s="2" t="s">
        <v>14</v>
      </c>
      <c r="C367" s="18" t="s">
        <v>13</v>
      </c>
      <c r="D367" s="16"/>
      <c r="E367" s="17">
        <v>7869</v>
      </c>
      <c r="F367" s="3">
        <f t="shared" si="24"/>
        <v>-7869</v>
      </c>
      <c r="G367" s="2">
        <f t="shared" si="25"/>
        <v>2026</v>
      </c>
      <c r="H367" s="2">
        <f t="shared" si="26"/>
        <v>4</v>
      </c>
      <c r="I367" s="2">
        <f t="shared" si="23"/>
        <v>2</v>
      </c>
    </row>
    <row r="368" spans="1:9" x14ac:dyDescent="0.25">
      <c r="A368" s="13" t="s">
        <v>87</v>
      </c>
      <c r="B368" s="2" t="s">
        <v>14</v>
      </c>
      <c r="C368" s="21" t="s">
        <v>19</v>
      </c>
      <c r="D368" s="16"/>
      <c r="E368" s="15">
        <v>16310</v>
      </c>
      <c r="F368" s="3">
        <f t="shared" si="24"/>
        <v>-16310</v>
      </c>
      <c r="G368" s="2">
        <f t="shared" si="25"/>
        <v>2026</v>
      </c>
      <c r="H368" s="2">
        <f t="shared" si="26"/>
        <v>4</v>
      </c>
      <c r="I368" s="2">
        <f t="shared" si="23"/>
        <v>2</v>
      </c>
    </row>
    <row r="369" spans="1:9" x14ac:dyDescent="0.25">
      <c r="A369" s="13" t="s">
        <v>87</v>
      </c>
      <c r="B369" s="2" t="s">
        <v>14</v>
      </c>
      <c r="C369" s="18" t="s">
        <v>17</v>
      </c>
      <c r="D369" s="16"/>
      <c r="E369" s="15">
        <v>2.4300000000000002</v>
      </c>
      <c r="F369" s="3">
        <f t="shared" si="24"/>
        <v>-2.4300000000000002</v>
      </c>
      <c r="G369" s="2">
        <f t="shared" si="25"/>
        <v>2026</v>
      </c>
      <c r="H369" s="2">
        <f t="shared" si="26"/>
        <v>4</v>
      </c>
      <c r="I369" s="2">
        <f t="shared" si="23"/>
        <v>2</v>
      </c>
    </row>
    <row r="370" spans="1:9" x14ac:dyDescent="0.25">
      <c r="A370" s="13" t="s">
        <v>87</v>
      </c>
      <c r="B370" s="2" t="s">
        <v>14</v>
      </c>
      <c r="C370" s="23" t="s">
        <v>105</v>
      </c>
      <c r="D370" s="15"/>
      <c r="E370" s="16">
        <v>46000</v>
      </c>
      <c r="F370" s="3">
        <f t="shared" si="24"/>
        <v>-46000</v>
      </c>
      <c r="G370" s="2">
        <f t="shared" si="25"/>
        <v>2026</v>
      </c>
      <c r="H370" s="2">
        <f t="shared" si="26"/>
        <v>4</v>
      </c>
      <c r="I370" s="2">
        <f t="shared" si="23"/>
        <v>2</v>
      </c>
    </row>
    <row r="371" spans="1:9" x14ac:dyDescent="0.25">
      <c r="A371" s="13" t="s">
        <v>87</v>
      </c>
      <c r="B371" s="2" t="s">
        <v>14</v>
      </c>
      <c r="C371" s="23" t="s">
        <v>20</v>
      </c>
      <c r="D371" s="15"/>
      <c r="E371" s="16">
        <v>7400</v>
      </c>
      <c r="F371" s="3">
        <f t="shared" si="24"/>
        <v>-7400</v>
      </c>
      <c r="G371" s="2">
        <f t="shared" si="25"/>
        <v>2026</v>
      </c>
      <c r="H371" s="2">
        <f t="shared" si="26"/>
        <v>4</v>
      </c>
      <c r="I371" s="2">
        <f t="shared" si="23"/>
        <v>2</v>
      </c>
    </row>
    <row r="372" spans="1:9" x14ac:dyDescent="0.25">
      <c r="A372" s="13" t="s">
        <v>88</v>
      </c>
      <c r="B372" s="2" t="s">
        <v>10</v>
      </c>
      <c r="C372" s="23" t="s">
        <v>11</v>
      </c>
      <c r="D372" s="15">
        <v>5250</v>
      </c>
      <c r="E372" s="16"/>
      <c r="F372" s="3">
        <f t="shared" si="24"/>
        <v>5250</v>
      </c>
      <c r="G372" s="2">
        <f t="shared" si="25"/>
        <v>2026</v>
      </c>
      <c r="H372" s="2">
        <f t="shared" si="26"/>
        <v>4</v>
      </c>
      <c r="I372" s="2">
        <f t="shared" si="23"/>
        <v>2</v>
      </c>
    </row>
    <row r="373" spans="1:9" x14ac:dyDescent="0.25">
      <c r="A373" s="13" t="s">
        <v>88</v>
      </c>
      <c r="B373" s="2" t="s">
        <v>10</v>
      </c>
      <c r="C373" s="19" t="s">
        <v>11</v>
      </c>
      <c r="D373" s="17">
        <v>89698.81</v>
      </c>
      <c r="E373" s="16"/>
      <c r="F373" s="3">
        <f t="shared" si="24"/>
        <v>89698.81</v>
      </c>
      <c r="G373" s="2">
        <f t="shared" si="25"/>
        <v>2026</v>
      </c>
      <c r="H373" s="2">
        <f t="shared" si="26"/>
        <v>4</v>
      </c>
      <c r="I373" s="2">
        <f t="shared" si="23"/>
        <v>2</v>
      </c>
    </row>
    <row r="374" spans="1:9" x14ac:dyDescent="0.25">
      <c r="A374" s="13" t="s">
        <v>88</v>
      </c>
      <c r="B374" s="2" t="s">
        <v>10</v>
      </c>
      <c r="C374" s="19" t="s">
        <v>11</v>
      </c>
      <c r="D374" s="15">
        <v>58586.5</v>
      </c>
      <c r="E374" s="16"/>
      <c r="F374" s="3">
        <f t="shared" si="24"/>
        <v>58586.5</v>
      </c>
      <c r="G374" s="2">
        <f t="shared" si="25"/>
        <v>2026</v>
      </c>
      <c r="H374" s="2">
        <f t="shared" si="26"/>
        <v>4</v>
      </c>
      <c r="I374" s="2">
        <f t="shared" si="23"/>
        <v>2</v>
      </c>
    </row>
    <row r="375" spans="1:9" x14ac:dyDescent="0.25">
      <c r="A375" s="13" t="s">
        <v>88</v>
      </c>
      <c r="B375" s="2" t="s">
        <v>10</v>
      </c>
      <c r="C375" s="19" t="s">
        <v>13</v>
      </c>
      <c r="D375" s="15">
        <v>787.5</v>
      </c>
      <c r="E375" s="16"/>
      <c r="F375" s="3">
        <f t="shared" si="24"/>
        <v>787.5</v>
      </c>
      <c r="G375" s="2">
        <f t="shared" si="25"/>
        <v>2026</v>
      </c>
      <c r="H375" s="2">
        <f t="shared" si="26"/>
        <v>4</v>
      </c>
      <c r="I375" s="2">
        <f t="shared" si="23"/>
        <v>2</v>
      </c>
    </row>
    <row r="376" spans="1:9" x14ac:dyDescent="0.25">
      <c r="A376" s="13" t="s">
        <v>88</v>
      </c>
      <c r="B376" s="2" t="s">
        <v>10</v>
      </c>
      <c r="C376" s="21" t="s">
        <v>13</v>
      </c>
      <c r="D376" s="16">
        <v>13454.82</v>
      </c>
      <c r="E376" s="17"/>
      <c r="F376" s="3">
        <f t="shared" si="24"/>
        <v>13454.82</v>
      </c>
      <c r="G376" s="2">
        <f t="shared" si="25"/>
        <v>2026</v>
      </c>
      <c r="H376" s="2">
        <f t="shared" si="26"/>
        <v>4</v>
      </c>
      <c r="I376" s="2">
        <f t="shared" si="23"/>
        <v>2</v>
      </c>
    </row>
    <row r="377" spans="1:9" x14ac:dyDescent="0.25">
      <c r="A377" s="13" t="s">
        <v>88</v>
      </c>
      <c r="B377" s="2" t="s">
        <v>10</v>
      </c>
      <c r="C377" s="21" t="s">
        <v>13</v>
      </c>
      <c r="D377" s="16">
        <v>8787.9699999999993</v>
      </c>
      <c r="E377" s="15"/>
      <c r="F377" s="3">
        <f t="shared" si="24"/>
        <v>8787.9699999999993</v>
      </c>
      <c r="G377" s="2">
        <f t="shared" si="25"/>
        <v>2026</v>
      </c>
      <c r="H377" s="2">
        <f t="shared" si="26"/>
        <v>4</v>
      </c>
      <c r="I377" s="2">
        <f t="shared" si="23"/>
        <v>2</v>
      </c>
    </row>
    <row r="378" spans="1:9" x14ac:dyDescent="0.25">
      <c r="A378" s="13" t="s">
        <v>88</v>
      </c>
      <c r="B378" s="2" t="s">
        <v>14</v>
      </c>
      <c r="C378" s="21" t="s">
        <v>13</v>
      </c>
      <c r="D378" s="16"/>
      <c r="E378" s="15">
        <v>787.5</v>
      </c>
      <c r="F378" s="3">
        <f t="shared" si="24"/>
        <v>-787.5</v>
      </c>
      <c r="G378" s="2">
        <f t="shared" si="25"/>
        <v>2026</v>
      </c>
      <c r="H378" s="2">
        <f t="shared" si="26"/>
        <v>4</v>
      </c>
      <c r="I378" s="2">
        <f t="shared" si="23"/>
        <v>2</v>
      </c>
    </row>
    <row r="379" spans="1:9" x14ac:dyDescent="0.25">
      <c r="A379" s="13" t="s">
        <v>88</v>
      </c>
      <c r="B379" s="2" t="s">
        <v>14</v>
      </c>
      <c r="C379" s="18" t="s">
        <v>13</v>
      </c>
      <c r="D379" s="16"/>
      <c r="E379" s="15">
        <v>13454.82</v>
      </c>
      <c r="F379" s="3">
        <f t="shared" si="24"/>
        <v>-13454.82</v>
      </c>
      <c r="G379" s="2">
        <f t="shared" si="25"/>
        <v>2026</v>
      </c>
      <c r="H379" s="2">
        <f t="shared" si="26"/>
        <v>4</v>
      </c>
      <c r="I379" s="2">
        <f t="shared" si="23"/>
        <v>2</v>
      </c>
    </row>
    <row r="380" spans="1:9" x14ac:dyDescent="0.25">
      <c r="A380" s="13" t="s">
        <v>88</v>
      </c>
      <c r="B380" s="2" t="s">
        <v>14</v>
      </c>
      <c r="C380" s="21" t="s">
        <v>13</v>
      </c>
      <c r="D380" s="16"/>
      <c r="E380" s="17">
        <v>8787.9699999999993</v>
      </c>
      <c r="F380" s="3">
        <f t="shared" si="24"/>
        <v>-8787.9699999999993</v>
      </c>
      <c r="G380" s="2">
        <f t="shared" si="25"/>
        <v>2026</v>
      </c>
      <c r="H380" s="2">
        <f t="shared" si="26"/>
        <v>4</v>
      </c>
      <c r="I380" s="2">
        <f t="shared" si="23"/>
        <v>2</v>
      </c>
    </row>
    <row r="381" spans="1:9" x14ac:dyDescent="0.25">
      <c r="A381" s="13" t="s">
        <v>88</v>
      </c>
      <c r="B381" s="2" t="s">
        <v>14</v>
      </c>
      <c r="C381" s="21" t="s">
        <v>27</v>
      </c>
      <c r="D381" s="15"/>
      <c r="E381" s="16">
        <v>98000</v>
      </c>
      <c r="F381" s="3">
        <f t="shared" si="24"/>
        <v>-98000</v>
      </c>
      <c r="G381" s="2">
        <f t="shared" si="25"/>
        <v>2026</v>
      </c>
      <c r="H381" s="2">
        <f t="shared" si="26"/>
        <v>4</v>
      </c>
      <c r="I381" s="2">
        <f t="shared" si="23"/>
        <v>2</v>
      </c>
    </row>
    <row r="382" spans="1:9" x14ac:dyDescent="0.25">
      <c r="A382" s="13" t="s">
        <v>88</v>
      </c>
      <c r="B382" s="2" t="s">
        <v>14</v>
      </c>
      <c r="C382" s="21" t="s">
        <v>36</v>
      </c>
      <c r="D382" s="15"/>
      <c r="E382" s="16">
        <v>771</v>
      </c>
      <c r="F382" s="3">
        <f t="shared" si="24"/>
        <v>-771</v>
      </c>
      <c r="G382" s="2">
        <f t="shared" si="25"/>
        <v>2026</v>
      </c>
      <c r="H382" s="2">
        <f t="shared" si="26"/>
        <v>4</v>
      </c>
      <c r="I382" s="2">
        <f t="shared" si="23"/>
        <v>2</v>
      </c>
    </row>
    <row r="383" spans="1:9" x14ac:dyDescent="0.25">
      <c r="A383" s="13" t="s">
        <v>89</v>
      </c>
      <c r="B383" s="2" t="s">
        <v>10</v>
      </c>
      <c r="C383" s="23" t="s">
        <v>12</v>
      </c>
      <c r="D383" s="15">
        <v>19470.45</v>
      </c>
      <c r="E383" s="16"/>
      <c r="F383" s="3">
        <f t="shared" si="24"/>
        <v>19470.45</v>
      </c>
      <c r="G383" s="2">
        <f t="shared" si="25"/>
        <v>2026</v>
      </c>
      <c r="H383" s="2">
        <f t="shared" si="26"/>
        <v>4</v>
      </c>
      <c r="I383" s="2">
        <f t="shared" si="23"/>
        <v>2</v>
      </c>
    </row>
    <row r="384" spans="1:9" x14ac:dyDescent="0.25">
      <c r="A384" s="13" t="s">
        <v>89</v>
      </c>
      <c r="B384" s="2" t="s">
        <v>10</v>
      </c>
      <c r="C384" s="23" t="s">
        <v>11</v>
      </c>
      <c r="D384" s="15">
        <v>33229</v>
      </c>
      <c r="E384" s="16"/>
      <c r="F384" s="3">
        <f t="shared" si="24"/>
        <v>33229</v>
      </c>
      <c r="G384" s="2">
        <f t="shared" si="25"/>
        <v>2026</v>
      </c>
      <c r="H384" s="2">
        <f t="shared" si="26"/>
        <v>4</v>
      </c>
      <c r="I384" s="2">
        <f t="shared" si="23"/>
        <v>2</v>
      </c>
    </row>
    <row r="385" spans="1:9" x14ac:dyDescent="0.25">
      <c r="A385" s="13" t="s">
        <v>89</v>
      </c>
      <c r="B385" s="2" t="s">
        <v>10</v>
      </c>
      <c r="C385" s="19" t="s">
        <v>11</v>
      </c>
      <c r="D385" s="15">
        <v>5590</v>
      </c>
      <c r="E385" s="16"/>
      <c r="F385" s="3">
        <f t="shared" si="24"/>
        <v>5590</v>
      </c>
      <c r="G385" s="2">
        <f t="shared" si="25"/>
        <v>2026</v>
      </c>
      <c r="H385" s="2">
        <f t="shared" si="26"/>
        <v>4</v>
      </c>
      <c r="I385" s="2">
        <f t="shared" si="23"/>
        <v>2</v>
      </c>
    </row>
    <row r="386" spans="1:9" x14ac:dyDescent="0.25">
      <c r="A386" s="13" t="s">
        <v>89</v>
      </c>
      <c r="B386" s="2" t="s">
        <v>10</v>
      </c>
      <c r="C386" s="19" t="s">
        <v>11</v>
      </c>
      <c r="D386" s="17">
        <v>45165</v>
      </c>
      <c r="E386" s="16"/>
      <c r="F386" s="3">
        <f t="shared" si="24"/>
        <v>45165</v>
      </c>
      <c r="G386" s="2">
        <f t="shared" si="25"/>
        <v>2026</v>
      </c>
      <c r="H386" s="2">
        <f t="shared" si="26"/>
        <v>4</v>
      </c>
      <c r="I386" s="2">
        <f t="shared" si="23"/>
        <v>2</v>
      </c>
    </row>
    <row r="387" spans="1:9" x14ac:dyDescent="0.25">
      <c r="A387" s="13" t="s">
        <v>89</v>
      </c>
      <c r="B387" s="2" t="s">
        <v>10</v>
      </c>
      <c r="C387" s="19" t="s">
        <v>13</v>
      </c>
      <c r="D387" s="15">
        <v>4984.3500000000004</v>
      </c>
      <c r="E387" s="16"/>
      <c r="F387" s="3">
        <f t="shared" si="24"/>
        <v>4984.3500000000004</v>
      </c>
      <c r="G387" s="2">
        <f t="shared" si="25"/>
        <v>2026</v>
      </c>
      <c r="H387" s="2">
        <f t="shared" si="26"/>
        <v>4</v>
      </c>
      <c r="I387" s="2">
        <f t="shared" si="23"/>
        <v>2</v>
      </c>
    </row>
    <row r="388" spans="1:9" x14ac:dyDescent="0.25">
      <c r="A388" s="13" t="s">
        <v>89</v>
      </c>
      <c r="B388" s="2" t="s">
        <v>10</v>
      </c>
      <c r="C388" s="21" t="s">
        <v>13</v>
      </c>
      <c r="D388" s="16">
        <v>838.5</v>
      </c>
      <c r="E388" s="15"/>
      <c r="F388" s="3">
        <f t="shared" si="24"/>
        <v>838.5</v>
      </c>
      <c r="G388" s="2">
        <f t="shared" si="25"/>
        <v>2026</v>
      </c>
      <c r="H388" s="2">
        <f t="shared" si="26"/>
        <v>4</v>
      </c>
      <c r="I388" s="2">
        <f t="shared" ref="I388:I451" si="27">ROUNDUP(H388/3,0)</f>
        <v>2</v>
      </c>
    </row>
    <row r="389" spans="1:9" x14ac:dyDescent="0.25">
      <c r="A389" s="13" t="s">
        <v>89</v>
      </c>
      <c r="B389" s="2" t="s">
        <v>10</v>
      </c>
      <c r="C389" s="24" t="s">
        <v>13</v>
      </c>
      <c r="D389" s="16">
        <v>6774.75</v>
      </c>
      <c r="E389" s="15"/>
      <c r="F389" s="3">
        <f t="shared" ref="F389:F452" si="28">D389-E389</f>
        <v>6774.75</v>
      </c>
      <c r="G389" s="2">
        <f t="shared" ref="G389:G452" si="29">YEAR(A389)</f>
        <v>2026</v>
      </c>
      <c r="H389" s="2">
        <f t="shared" ref="H389:H452" si="30">MONTH(A389)</f>
        <v>4</v>
      </c>
      <c r="I389" s="2">
        <f t="shared" si="27"/>
        <v>2</v>
      </c>
    </row>
    <row r="390" spans="1:9" x14ac:dyDescent="0.25">
      <c r="A390" s="13" t="s">
        <v>89</v>
      </c>
      <c r="B390" s="2" t="s">
        <v>14</v>
      </c>
      <c r="C390" s="24" t="s">
        <v>13</v>
      </c>
      <c r="D390" s="16"/>
      <c r="E390" s="15">
        <v>4984.3500000000004</v>
      </c>
      <c r="F390" s="3">
        <f t="shared" si="28"/>
        <v>-4984.3500000000004</v>
      </c>
      <c r="G390" s="2">
        <f t="shared" si="29"/>
        <v>2026</v>
      </c>
      <c r="H390" s="2">
        <f t="shared" si="30"/>
        <v>4</v>
      </c>
      <c r="I390" s="2">
        <f t="shared" si="27"/>
        <v>2</v>
      </c>
    </row>
    <row r="391" spans="1:9" x14ac:dyDescent="0.25">
      <c r="A391" s="13" t="s">
        <v>89</v>
      </c>
      <c r="B391" s="2" t="s">
        <v>14</v>
      </c>
      <c r="C391" s="21" t="s">
        <v>36</v>
      </c>
      <c r="D391" s="16"/>
      <c r="E391" s="17">
        <v>4716</v>
      </c>
      <c r="F391" s="3">
        <f t="shared" si="28"/>
        <v>-4716</v>
      </c>
      <c r="G391" s="2">
        <f t="shared" si="29"/>
        <v>2026</v>
      </c>
      <c r="H391" s="2">
        <f t="shared" si="30"/>
        <v>4</v>
      </c>
      <c r="I391" s="2">
        <f t="shared" si="27"/>
        <v>2</v>
      </c>
    </row>
    <row r="392" spans="1:9" x14ac:dyDescent="0.25">
      <c r="A392" s="13" t="s">
        <v>89</v>
      </c>
      <c r="B392" s="2" t="s">
        <v>14</v>
      </c>
      <c r="C392" s="25" t="s">
        <v>106</v>
      </c>
      <c r="D392" s="16"/>
      <c r="E392" s="15">
        <v>1900</v>
      </c>
      <c r="F392" s="3">
        <f t="shared" si="28"/>
        <v>-1900</v>
      </c>
      <c r="G392" s="2">
        <f t="shared" si="29"/>
        <v>2026</v>
      </c>
      <c r="H392" s="2">
        <f t="shared" si="30"/>
        <v>4</v>
      </c>
      <c r="I392" s="2">
        <f t="shared" si="27"/>
        <v>2</v>
      </c>
    </row>
    <row r="393" spans="1:9" x14ac:dyDescent="0.25">
      <c r="A393" s="13" t="s">
        <v>89</v>
      </c>
      <c r="B393" s="2" t="s">
        <v>14</v>
      </c>
      <c r="C393" s="21" t="s">
        <v>13</v>
      </c>
      <c r="D393" s="16"/>
      <c r="E393" s="15">
        <v>838.5</v>
      </c>
      <c r="F393" s="3">
        <f t="shared" si="28"/>
        <v>-838.5</v>
      </c>
      <c r="G393" s="2">
        <f t="shared" si="29"/>
        <v>2026</v>
      </c>
      <c r="H393" s="2">
        <f t="shared" si="30"/>
        <v>4</v>
      </c>
      <c r="I393" s="2">
        <f t="shared" si="27"/>
        <v>2</v>
      </c>
    </row>
    <row r="394" spans="1:9" x14ac:dyDescent="0.25">
      <c r="A394" s="13" t="s">
        <v>89</v>
      </c>
      <c r="B394" s="2" t="s">
        <v>14</v>
      </c>
      <c r="C394" s="23" t="s">
        <v>17</v>
      </c>
      <c r="D394" s="15"/>
      <c r="E394" s="16">
        <v>5896</v>
      </c>
      <c r="F394" s="3">
        <f t="shared" si="28"/>
        <v>-5896</v>
      </c>
      <c r="G394" s="2">
        <f t="shared" si="29"/>
        <v>2026</v>
      </c>
      <c r="H394" s="2">
        <f t="shared" si="30"/>
        <v>4</v>
      </c>
      <c r="I394" s="2">
        <f t="shared" si="27"/>
        <v>2</v>
      </c>
    </row>
    <row r="395" spans="1:9" x14ac:dyDescent="0.25">
      <c r="A395" s="13" t="s">
        <v>89</v>
      </c>
      <c r="B395" s="2" t="s">
        <v>14</v>
      </c>
      <c r="C395" s="23" t="s">
        <v>13</v>
      </c>
      <c r="D395" s="15"/>
      <c r="E395" s="16">
        <v>6774.75</v>
      </c>
      <c r="F395" s="3">
        <f t="shared" si="28"/>
        <v>-6774.75</v>
      </c>
      <c r="G395" s="2">
        <f t="shared" si="29"/>
        <v>2026</v>
      </c>
      <c r="H395" s="2">
        <f t="shared" si="30"/>
        <v>4</v>
      </c>
      <c r="I395" s="2">
        <f t="shared" si="27"/>
        <v>2</v>
      </c>
    </row>
    <row r="396" spans="1:9" x14ac:dyDescent="0.25">
      <c r="A396" s="13" t="s">
        <v>90</v>
      </c>
      <c r="B396" s="2" t="s">
        <v>10</v>
      </c>
      <c r="C396" s="18" t="s">
        <v>11</v>
      </c>
      <c r="D396" s="15">
        <v>1408</v>
      </c>
      <c r="E396" s="16"/>
      <c r="F396" s="3">
        <f t="shared" si="28"/>
        <v>1408</v>
      </c>
      <c r="G396" s="2">
        <f t="shared" si="29"/>
        <v>2026</v>
      </c>
      <c r="H396" s="2">
        <f t="shared" si="30"/>
        <v>4</v>
      </c>
      <c r="I396" s="2">
        <f t="shared" si="27"/>
        <v>2</v>
      </c>
    </row>
    <row r="397" spans="1:9" x14ac:dyDescent="0.25">
      <c r="A397" s="13" t="s">
        <v>90</v>
      </c>
      <c r="B397" s="2" t="s">
        <v>10</v>
      </c>
      <c r="C397" s="23" t="s">
        <v>11</v>
      </c>
      <c r="D397" s="15">
        <v>15026.02</v>
      </c>
      <c r="E397" s="16"/>
      <c r="F397" s="3">
        <f t="shared" si="28"/>
        <v>15026.02</v>
      </c>
      <c r="G397" s="2">
        <f t="shared" si="29"/>
        <v>2026</v>
      </c>
      <c r="H397" s="2">
        <f t="shared" si="30"/>
        <v>4</v>
      </c>
      <c r="I397" s="2">
        <f t="shared" si="27"/>
        <v>2</v>
      </c>
    </row>
    <row r="398" spans="1:9" x14ac:dyDescent="0.25">
      <c r="A398" s="13" t="s">
        <v>90</v>
      </c>
      <c r="B398" s="2" t="s">
        <v>10</v>
      </c>
      <c r="C398" s="23" t="s">
        <v>12</v>
      </c>
      <c r="D398" s="15">
        <v>25019.72</v>
      </c>
      <c r="E398" s="16"/>
      <c r="F398" s="3">
        <f t="shared" si="28"/>
        <v>25019.72</v>
      </c>
      <c r="G398" s="2">
        <f t="shared" si="29"/>
        <v>2026</v>
      </c>
      <c r="H398" s="2">
        <f t="shared" si="30"/>
        <v>4</v>
      </c>
      <c r="I398" s="2">
        <f t="shared" si="27"/>
        <v>2</v>
      </c>
    </row>
    <row r="399" spans="1:9" x14ac:dyDescent="0.25">
      <c r="A399" s="13" t="s">
        <v>90</v>
      </c>
      <c r="B399" s="2" t="s">
        <v>10</v>
      </c>
      <c r="C399" s="23" t="s">
        <v>39</v>
      </c>
      <c r="D399" s="15">
        <v>68000</v>
      </c>
      <c r="E399" s="16"/>
      <c r="F399" s="3">
        <f t="shared" si="28"/>
        <v>68000</v>
      </c>
      <c r="G399" s="2">
        <f t="shared" si="29"/>
        <v>2026</v>
      </c>
      <c r="H399" s="2">
        <f t="shared" si="30"/>
        <v>4</v>
      </c>
      <c r="I399" s="2">
        <f t="shared" si="27"/>
        <v>2</v>
      </c>
    </row>
    <row r="400" spans="1:9" x14ac:dyDescent="0.25">
      <c r="A400" s="13" t="s">
        <v>90</v>
      </c>
      <c r="B400" s="2" t="s">
        <v>10</v>
      </c>
      <c r="C400" s="23" t="s">
        <v>39</v>
      </c>
      <c r="D400" s="15">
        <v>68000</v>
      </c>
      <c r="E400" s="16"/>
      <c r="F400" s="3">
        <f t="shared" si="28"/>
        <v>68000</v>
      </c>
      <c r="G400" s="2">
        <f t="shared" si="29"/>
        <v>2026</v>
      </c>
      <c r="H400" s="2">
        <f t="shared" si="30"/>
        <v>4</v>
      </c>
      <c r="I400" s="2">
        <f t="shared" si="27"/>
        <v>2</v>
      </c>
    </row>
    <row r="401" spans="1:9" x14ac:dyDescent="0.25">
      <c r="A401" s="13" t="s">
        <v>90</v>
      </c>
      <c r="B401" s="2" t="s">
        <v>10</v>
      </c>
      <c r="C401" s="23" t="s">
        <v>11</v>
      </c>
      <c r="D401" s="15">
        <v>44000</v>
      </c>
      <c r="E401" s="16"/>
      <c r="F401" s="3">
        <f t="shared" si="28"/>
        <v>44000</v>
      </c>
      <c r="G401" s="2">
        <f t="shared" si="29"/>
        <v>2026</v>
      </c>
      <c r="H401" s="2">
        <f t="shared" si="30"/>
        <v>4</v>
      </c>
      <c r="I401" s="2">
        <f t="shared" si="27"/>
        <v>2</v>
      </c>
    </row>
    <row r="402" spans="1:9" x14ac:dyDescent="0.25">
      <c r="A402" s="13" t="s">
        <v>90</v>
      </c>
      <c r="B402" s="2" t="s">
        <v>10</v>
      </c>
      <c r="C402" s="23" t="s">
        <v>11</v>
      </c>
      <c r="D402" s="15">
        <v>43750</v>
      </c>
      <c r="E402" s="16"/>
      <c r="F402" s="3">
        <f t="shared" si="28"/>
        <v>43750</v>
      </c>
      <c r="G402" s="2">
        <f t="shared" si="29"/>
        <v>2026</v>
      </c>
      <c r="H402" s="2">
        <f t="shared" si="30"/>
        <v>4</v>
      </c>
      <c r="I402" s="2">
        <f t="shared" si="27"/>
        <v>2</v>
      </c>
    </row>
    <row r="403" spans="1:9" x14ac:dyDescent="0.25">
      <c r="A403" s="13" t="s">
        <v>90</v>
      </c>
      <c r="B403" s="2" t="s">
        <v>10</v>
      </c>
      <c r="C403" s="19" t="s">
        <v>11</v>
      </c>
      <c r="D403" s="15">
        <v>26974.5</v>
      </c>
      <c r="E403" s="16"/>
      <c r="F403" s="3">
        <f t="shared" si="28"/>
        <v>26974.5</v>
      </c>
      <c r="G403" s="2">
        <f t="shared" si="29"/>
        <v>2026</v>
      </c>
      <c r="H403" s="2">
        <f t="shared" si="30"/>
        <v>4</v>
      </c>
      <c r="I403" s="2">
        <f t="shared" si="27"/>
        <v>2</v>
      </c>
    </row>
    <row r="404" spans="1:9" x14ac:dyDescent="0.25">
      <c r="A404" s="13" t="s">
        <v>90</v>
      </c>
      <c r="B404" s="2" t="s">
        <v>10</v>
      </c>
      <c r="C404" s="19" t="s">
        <v>11</v>
      </c>
      <c r="D404" s="15">
        <v>6640</v>
      </c>
      <c r="E404" s="16"/>
      <c r="F404" s="3">
        <f t="shared" si="28"/>
        <v>6640</v>
      </c>
      <c r="G404" s="2">
        <f t="shared" si="29"/>
        <v>2026</v>
      </c>
      <c r="H404" s="2">
        <f t="shared" si="30"/>
        <v>4</v>
      </c>
      <c r="I404" s="2">
        <f t="shared" si="27"/>
        <v>2</v>
      </c>
    </row>
    <row r="405" spans="1:9" x14ac:dyDescent="0.25">
      <c r="A405" s="13" t="s">
        <v>90</v>
      </c>
      <c r="B405" s="2" t="s">
        <v>10</v>
      </c>
      <c r="C405" s="19" t="s">
        <v>13</v>
      </c>
      <c r="D405" s="15">
        <v>6600</v>
      </c>
      <c r="E405" s="16"/>
      <c r="F405" s="3">
        <f t="shared" si="28"/>
        <v>6600</v>
      </c>
      <c r="G405" s="2">
        <f t="shared" si="29"/>
        <v>2026</v>
      </c>
      <c r="H405" s="2">
        <f t="shared" si="30"/>
        <v>4</v>
      </c>
      <c r="I405" s="2">
        <f t="shared" si="27"/>
        <v>2</v>
      </c>
    </row>
    <row r="406" spans="1:9" x14ac:dyDescent="0.25">
      <c r="A406" s="13" t="s">
        <v>90</v>
      </c>
      <c r="B406" s="2" t="s">
        <v>10</v>
      </c>
      <c r="C406" s="19" t="s">
        <v>13</v>
      </c>
      <c r="D406" s="17">
        <v>6562.5</v>
      </c>
      <c r="E406" s="16"/>
      <c r="F406" s="3">
        <f t="shared" si="28"/>
        <v>6562.5</v>
      </c>
      <c r="G406" s="2">
        <f t="shared" si="29"/>
        <v>2026</v>
      </c>
      <c r="H406" s="2">
        <f t="shared" si="30"/>
        <v>4</v>
      </c>
      <c r="I406" s="2">
        <f t="shared" si="27"/>
        <v>2</v>
      </c>
    </row>
    <row r="407" spans="1:9" x14ac:dyDescent="0.25">
      <c r="A407" s="13" t="s">
        <v>90</v>
      </c>
      <c r="B407" s="2" t="s">
        <v>10</v>
      </c>
      <c r="C407" s="18" t="s">
        <v>13</v>
      </c>
      <c r="D407" s="16">
        <v>4046.17</v>
      </c>
      <c r="E407" s="15"/>
      <c r="F407" s="3">
        <f t="shared" si="28"/>
        <v>4046.17</v>
      </c>
      <c r="G407" s="2">
        <f t="shared" si="29"/>
        <v>2026</v>
      </c>
      <c r="H407" s="2">
        <f t="shared" si="30"/>
        <v>4</v>
      </c>
      <c r="I407" s="2">
        <f t="shared" si="27"/>
        <v>2</v>
      </c>
    </row>
    <row r="408" spans="1:9" x14ac:dyDescent="0.25">
      <c r="A408" s="13" t="s">
        <v>90</v>
      </c>
      <c r="B408" s="2" t="s">
        <v>10</v>
      </c>
      <c r="C408" s="18" t="s">
        <v>13</v>
      </c>
      <c r="D408" s="16">
        <v>996</v>
      </c>
      <c r="E408" s="15"/>
      <c r="F408" s="3">
        <f t="shared" si="28"/>
        <v>996</v>
      </c>
      <c r="G408" s="2">
        <f t="shared" si="29"/>
        <v>2026</v>
      </c>
      <c r="H408" s="2">
        <f t="shared" si="30"/>
        <v>4</v>
      </c>
      <c r="I408" s="2">
        <f t="shared" si="27"/>
        <v>2</v>
      </c>
    </row>
    <row r="409" spans="1:9" x14ac:dyDescent="0.25">
      <c r="A409" s="13" t="s">
        <v>90</v>
      </c>
      <c r="B409" s="2" t="s">
        <v>14</v>
      </c>
      <c r="C409" s="21" t="s">
        <v>18</v>
      </c>
      <c r="D409" s="16"/>
      <c r="E409" s="15">
        <v>2776.4</v>
      </c>
      <c r="F409" s="3">
        <f t="shared" si="28"/>
        <v>-2776.4</v>
      </c>
      <c r="G409" s="2">
        <f t="shared" si="29"/>
        <v>2026</v>
      </c>
      <c r="H409" s="2">
        <f t="shared" si="30"/>
        <v>4</v>
      </c>
      <c r="I409" s="2">
        <f t="shared" si="27"/>
        <v>2</v>
      </c>
    </row>
    <row r="410" spans="1:9" x14ac:dyDescent="0.25">
      <c r="A410" s="13" t="s">
        <v>90</v>
      </c>
      <c r="B410" s="2" t="s">
        <v>14</v>
      </c>
      <c r="C410" s="21" t="s">
        <v>30</v>
      </c>
      <c r="D410" s="16"/>
      <c r="E410" s="15">
        <v>90044</v>
      </c>
      <c r="F410" s="3">
        <f t="shared" si="28"/>
        <v>-90044</v>
      </c>
      <c r="G410" s="2">
        <f t="shared" si="29"/>
        <v>2026</v>
      </c>
      <c r="H410" s="2">
        <f t="shared" si="30"/>
        <v>4</v>
      </c>
      <c r="I410" s="2">
        <f t="shared" si="27"/>
        <v>2</v>
      </c>
    </row>
    <row r="411" spans="1:9" x14ac:dyDescent="0.25">
      <c r="A411" s="13" t="s">
        <v>90</v>
      </c>
      <c r="B411" s="2" t="s">
        <v>14</v>
      </c>
      <c r="C411" s="21" t="s">
        <v>13</v>
      </c>
      <c r="D411" s="16"/>
      <c r="E411" s="15">
        <v>6600</v>
      </c>
      <c r="F411" s="3">
        <f t="shared" si="28"/>
        <v>-6600</v>
      </c>
      <c r="G411" s="2">
        <f t="shared" si="29"/>
        <v>2026</v>
      </c>
      <c r="H411" s="2">
        <f t="shared" si="30"/>
        <v>4</v>
      </c>
      <c r="I411" s="2">
        <f t="shared" si="27"/>
        <v>2</v>
      </c>
    </row>
    <row r="412" spans="1:9" x14ac:dyDescent="0.25">
      <c r="A412" s="13" t="s">
        <v>90</v>
      </c>
      <c r="B412" s="2" t="s">
        <v>14</v>
      </c>
      <c r="C412" s="21" t="s">
        <v>13</v>
      </c>
      <c r="D412" s="16"/>
      <c r="E412" s="17">
        <v>6562.5</v>
      </c>
      <c r="F412" s="3">
        <f t="shared" si="28"/>
        <v>-6562.5</v>
      </c>
      <c r="G412" s="2">
        <f t="shared" si="29"/>
        <v>2026</v>
      </c>
      <c r="H412" s="2">
        <f t="shared" si="30"/>
        <v>4</v>
      </c>
      <c r="I412" s="2">
        <f t="shared" si="27"/>
        <v>2</v>
      </c>
    </row>
    <row r="413" spans="1:9" x14ac:dyDescent="0.25">
      <c r="A413" s="13" t="s">
        <v>90</v>
      </c>
      <c r="B413" s="2" t="s">
        <v>14</v>
      </c>
      <c r="C413" s="26" t="s">
        <v>13</v>
      </c>
      <c r="D413" s="16"/>
      <c r="E413" s="15">
        <v>4046.17</v>
      </c>
      <c r="F413" s="3">
        <f t="shared" si="28"/>
        <v>-4046.17</v>
      </c>
      <c r="G413" s="2">
        <f t="shared" si="29"/>
        <v>2026</v>
      </c>
      <c r="H413" s="2">
        <f t="shared" si="30"/>
        <v>4</v>
      </c>
      <c r="I413" s="2">
        <f t="shared" si="27"/>
        <v>2</v>
      </c>
    </row>
    <row r="414" spans="1:9" x14ac:dyDescent="0.25">
      <c r="A414" s="13" t="s">
        <v>90</v>
      </c>
      <c r="B414" s="2" t="s">
        <v>14</v>
      </c>
      <c r="C414" s="18" t="s">
        <v>13</v>
      </c>
      <c r="D414" s="16"/>
      <c r="E414" s="17">
        <v>996</v>
      </c>
      <c r="F414" s="3">
        <f t="shared" si="28"/>
        <v>-996</v>
      </c>
      <c r="G414" s="2">
        <f t="shared" si="29"/>
        <v>2026</v>
      </c>
      <c r="H414" s="2">
        <f t="shared" si="30"/>
        <v>4</v>
      </c>
      <c r="I414" s="2">
        <f t="shared" si="27"/>
        <v>2</v>
      </c>
    </row>
    <row r="415" spans="1:9" x14ac:dyDescent="0.25">
      <c r="A415" s="12" t="s">
        <v>90</v>
      </c>
      <c r="B415" s="2" t="s">
        <v>14</v>
      </c>
      <c r="C415" s="26" t="s">
        <v>101</v>
      </c>
      <c r="D415" s="14"/>
      <c r="E415" s="14">
        <v>33895</v>
      </c>
      <c r="F415" s="3">
        <f t="shared" si="28"/>
        <v>-33895</v>
      </c>
      <c r="G415" s="2">
        <f t="shared" si="29"/>
        <v>2026</v>
      </c>
      <c r="H415" s="2">
        <f t="shared" si="30"/>
        <v>4</v>
      </c>
      <c r="I415" s="2">
        <f t="shared" si="27"/>
        <v>2</v>
      </c>
    </row>
    <row r="416" spans="1:9" x14ac:dyDescent="0.25">
      <c r="A416" s="12" t="s">
        <v>90</v>
      </c>
      <c r="B416" s="2" t="s">
        <v>14</v>
      </c>
      <c r="C416" s="23" t="s">
        <v>17</v>
      </c>
      <c r="D416" s="14"/>
      <c r="E416" s="14">
        <v>550</v>
      </c>
      <c r="F416" s="3">
        <f t="shared" si="28"/>
        <v>-550</v>
      </c>
      <c r="G416" s="2">
        <f t="shared" si="29"/>
        <v>2026</v>
      </c>
      <c r="H416" s="2">
        <f t="shared" si="30"/>
        <v>4</v>
      </c>
      <c r="I416" s="2">
        <f t="shared" si="27"/>
        <v>2</v>
      </c>
    </row>
    <row r="417" spans="1:9" x14ac:dyDescent="0.25">
      <c r="A417" s="13" t="s">
        <v>91</v>
      </c>
      <c r="B417" s="2" t="s">
        <v>14</v>
      </c>
      <c r="C417" s="19" t="s">
        <v>18</v>
      </c>
      <c r="D417" s="16"/>
      <c r="E417" s="15">
        <v>5570</v>
      </c>
      <c r="F417" s="3">
        <f t="shared" si="28"/>
        <v>-5570</v>
      </c>
      <c r="G417" s="2">
        <f t="shared" si="29"/>
        <v>2026</v>
      </c>
      <c r="H417" s="2">
        <f t="shared" si="30"/>
        <v>5</v>
      </c>
      <c r="I417" s="2">
        <f t="shared" si="27"/>
        <v>2</v>
      </c>
    </row>
    <row r="418" spans="1:9" x14ac:dyDescent="0.25">
      <c r="A418" s="13" t="s">
        <v>92</v>
      </c>
      <c r="B418" s="2" t="s">
        <v>10</v>
      </c>
      <c r="C418" s="23" t="s">
        <v>11</v>
      </c>
      <c r="D418" s="15">
        <v>11725</v>
      </c>
      <c r="E418" s="16"/>
      <c r="F418" s="3">
        <f t="shared" si="28"/>
        <v>11725</v>
      </c>
      <c r="G418" s="2">
        <f t="shared" si="29"/>
        <v>2026</v>
      </c>
      <c r="H418" s="2">
        <f t="shared" si="30"/>
        <v>5</v>
      </c>
      <c r="I418" s="2">
        <f t="shared" si="27"/>
        <v>2</v>
      </c>
    </row>
    <row r="419" spans="1:9" x14ac:dyDescent="0.25">
      <c r="A419" s="13" t="s">
        <v>92</v>
      </c>
      <c r="B419" s="2" t="s">
        <v>10</v>
      </c>
      <c r="C419" s="19" t="s">
        <v>13</v>
      </c>
      <c r="D419" s="15">
        <v>1758.75</v>
      </c>
      <c r="E419" s="16"/>
      <c r="F419" s="3">
        <f t="shared" si="28"/>
        <v>1758.75</v>
      </c>
      <c r="G419" s="2">
        <f t="shared" si="29"/>
        <v>2026</v>
      </c>
      <c r="H419" s="2">
        <f t="shared" si="30"/>
        <v>5</v>
      </c>
      <c r="I419" s="2">
        <f t="shared" si="27"/>
        <v>2</v>
      </c>
    </row>
    <row r="420" spans="1:9" x14ac:dyDescent="0.25">
      <c r="A420" s="13" t="s">
        <v>92</v>
      </c>
      <c r="B420" s="2" t="s">
        <v>14</v>
      </c>
      <c r="C420" s="19" t="s">
        <v>13</v>
      </c>
      <c r="D420" s="16"/>
      <c r="E420" s="15">
        <v>1758.75</v>
      </c>
      <c r="F420" s="3">
        <f t="shared" si="28"/>
        <v>-1758.75</v>
      </c>
      <c r="G420" s="2">
        <f t="shared" si="29"/>
        <v>2026</v>
      </c>
      <c r="H420" s="2">
        <f t="shared" si="30"/>
        <v>5</v>
      </c>
      <c r="I420" s="2">
        <f t="shared" si="27"/>
        <v>2</v>
      </c>
    </row>
    <row r="421" spans="1:9" x14ac:dyDescent="0.25">
      <c r="A421" s="13" t="s">
        <v>92</v>
      </c>
      <c r="B421" s="2" t="s">
        <v>14</v>
      </c>
      <c r="C421" s="19" t="s">
        <v>18</v>
      </c>
      <c r="D421" s="16"/>
      <c r="E421" s="15">
        <v>4500</v>
      </c>
      <c r="F421" s="3">
        <f t="shared" si="28"/>
        <v>-4500</v>
      </c>
      <c r="G421" s="2">
        <f t="shared" si="29"/>
        <v>2026</v>
      </c>
      <c r="H421" s="2">
        <f t="shared" si="30"/>
        <v>5</v>
      </c>
      <c r="I421" s="2">
        <f t="shared" si="27"/>
        <v>2</v>
      </c>
    </row>
    <row r="422" spans="1:9" x14ac:dyDescent="0.25">
      <c r="A422" s="13" t="s">
        <v>93</v>
      </c>
      <c r="B422" s="2" t="s">
        <v>10</v>
      </c>
      <c r="C422" s="23" t="s">
        <v>11</v>
      </c>
      <c r="D422" s="15">
        <v>5740</v>
      </c>
      <c r="E422" s="16"/>
      <c r="F422" s="3">
        <f t="shared" si="28"/>
        <v>5740</v>
      </c>
      <c r="G422" s="2">
        <f t="shared" si="29"/>
        <v>2026</v>
      </c>
      <c r="H422" s="2">
        <f t="shared" si="30"/>
        <v>5</v>
      </c>
      <c r="I422" s="2">
        <f t="shared" si="27"/>
        <v>2</v>
      </c>
    </row>
    <row r="423" spans="1:9" x14ac:dyDescent="0.25">
      <c r="A423" s="13" t="s">
        <v>93</v>
      </c>
      <c r="B423" s="2" t="s">
        <v>10</v>
      </c>
      <c r="C423" s="23" t="s">
        <v>11</v>
      </c>
      <c r="D423" s="15">
        <v>29096.2</v>
      </c>
      <c r="E423" s="16"/>
      <c r="F423" s="3">
        <f t="shared" si="28"/>
        <v>29096.2</v>
      </c>
      <c r="G423" s="2">
        <f t="shared" si="29"/>
        <v>2026</v>
      </c>
      <c r="H423" s="2">
        <f t="shared" si="30"/>
        <v>5</v>
      </c>
      <c r="I423" s="2">
        <f t="shared" si="27"/>
        <v>2</v>
      </c>
    </row>
    <row r="424" spans="1:9" x14ac:dyDescent="0.25">
      <c r="A424" s="13" t="s">
        <v>93</v>
      </c>
      <c r="B424" s="2" t="s">
        <v>10</v>
      </c>
      <c r="C424" s="19" t="s">
        <v>13</v>
      </c>
      <c r="D424" s="17">
        <v>861</v>
      </c>
      <c r="E424" s="16"/>
      <c r="F424" s="3">
        <f t="shared" si="28"/>
        <v>861</v>
      </c>
      <c r="G424" s="2">
        <f t="shared" si="29"/>
        <v>2026</v>
      </c>
      <c r="H424" s="2">
        <f t="shared" si="30"/>
        <v>5</v>
      </c>
      <c r="I424" s="2">
        <f t="shared" si="27"/>
        <v>2</v>
      </c>
    </row>
    <row r="425" spans="1:9" x14ac:dyDescent="0.25">
      <c r="A425" s="13" t="s">
        <v>93</v>
      </c>
      <c r="B425" s="2" t="s">
        <v>10</v>
      </c>
      <c r="C425" s="19" t="s">
        <v>13</v>
      </c>
      <c r="D425" s="15">
        <v>4364.43</v>
      </c>
      <c r="E425" s="16"/>
      <c r="F425" s="3">
        <f t="shared" si="28"/>
        <v>4364.43</v>
      </c>
      <c r="G425" s="2">
        <f t="shared" si="29"/>
        <v>2026</v>
      </c>
      <c r="H425" s="2">
        <f t="shared" si="30"/>
        <v>5</v>
      </c>
      <c r="I425" s="2">
        <f t="shared" si="27"/>
        <v>2</v>
      </c>
    </row>
    <row r="426" spans="1:9" x14ac:dyDescent="0.25">
      <c r="A426" s="13" t="s">
        <v>93</v>
      </c>
      <c r="B426" s="2" t="s">
        <v>10</v>
      </c>
      <c r="C426" s="23" t="s">
        <v>12</v>
      </c>
      <c r="D426" s="15">
        <v>15594.06</v>
      </c>
      <c r="E426" s="16"/>
      <c r="F426" s="3">
        <f t="shared" si="28"/>
        <v>15594.06</v>
      </c>
      <c r="G426" s="2">
        <f t="shared" si="29"/>
        <v>2026</v>
      </c>
      <c r="H426" s="2">
        <f t="shared" si="30"/>
        <v>5</v>
      </c>
      <c r="I426" s="2">
        <f t="shared" si="27"/>
        <v>2</v>
      </c>
    </row>
    <row r="427" spans="1:9" x14ac:dyDescent="0.25">
      <c r="A427" s="13" t="s">
        <v>93</v>
      </c>
      <c r="B427" s="2" t="s">
        <v>10</v>
      </c>
      <c r="C427" s="19" t="s">
        <v>22</v>
      </c>
      <c r="D427" s="15">
        <v>19868.490000000002</v>
      </c>
      <c r="E427" s="16"/>
      <c r="F427" s="3">
        <f t="shared" si="28"/>
        <v>19868.490000000002</v>
      </c>
      <c r="G427" s="2">
        <f t="shared" si="29"/>
        <v>2026</v>
      </c>
      <c r="H427" s="2">
        <f t="shared" si="30"/>
        <v>5</v>
      </c>
      <c r="I427" s="2">
        <f t="shared" si="27"/>
        <v>2</v>
      </c>
    </row>
    <row r="428" spans="1:9" x14ac:dyDescent="0.25">
      <c r="A428" s="13" t="s">
        <v>93</v>
      </c>
      <c r="B428" s="2" t="s">
        <v>10</v>
      </c>
      <c r="C428" s="23" t="s">
        <v>23</v>
      </c>
      <c r="D428" s="15">
        <v>10000000</v>
      </c>
      <c r="E428" s="16"/>
      <c r="F428" s="3">
        <f t="shared" si="28"/>
        <v>10000000</v>
      </c>
      <c r="G428" s="2">
        <f t="shared" si="29"/>
        <v>2026</v>
      </c>
      <c r="H428" s="2">
        <f t="shared" si="30"/>
        <v>5</v>
      </c>
      <c r="I428" s="2">
        <f t="shared" si="27"/>
        <v>2</v>
      </c>
    </row>
    <row r="429" spans="1:9" x14ac:dyDescent="0.25">
      <c r="A429" s="13" t="s">
        <v>93</v>
      </c>
      <c r="B429" s="2" t="s">
        <v>14</v>
      </c>
      <c r="C429" s="19" t="s">
        <v>13</v>
      </c>
      <c r="D429" s="16"/>
      <c r="E429" s="17">
        <v>861</v>
      </c>
      <c r="F429" s="3">
        <f t="shared" si="28"/>
        <v>-861</v>
      </c>
      <c r="G429" s="2">
        <f t="shared" si="29"/>
        <v>2026</v>
      </c>
      <c r="H429" s="2">
        <f t="shared" si="30"/>
        <v>5</v>
      </c>
      <c r="I429" s="2">
        <f t="shared" si="27"/>
        <v>2</v>
      </c>
    </row>
    <row r="430" spans="1:9" x14ac:dyDescent="0.25">
      <c r="A430" s="13" t="s">
        <v>93</v>
      </c>
      <c r="B430" s="2" t="s">
        <v>14</v>
      </c>
      <c r="C430" s="19" t="s">
        <v>13</v>
      </c>
      <c r="D430" s="16"/>
      <c r="E430" s="15">
        <v>4364.43</v>
      </c>
      <c r="F430" s="3">
        <f t="shared" si="28"/>
        <v>-4364.43</v>
      </c>
      <c r="G430" s="2">
        <f t="shared" si="29"/>
        <v>2026</v>
      </c>
      <c r="H430" s="2">
        <f t="shared" si="30"/>
        <v>5</v>
      </c>
      <c r="I430" s="2">
        <f t="shared" si="27"/>
        <v>2</v>
      </c>
    </row>
    <row r="431" spans="1:9" x14ac:dyDescent="0.25">
      <c r="A431" s="13" t="s">
        <v>93</v>
      </c>
      <c r="B431" s="2" t="s">
        <v>14</v>
      </c>
      <c r="C431" s="23" t="s">
        <v>17</v>
      </c>
      <c r="D431" s="16"/>
      <c r="E431" s="17">
        <v>0.46</v>
      </c>
      <c r="F431" s="3">
        <f t="shared" si="28"/>
        <v>-0.46</v>
      </c>
      <c r="G431" s="2">
        <f t="shared" si="29"/>
        <v>2026</v>
      </c>
      <c r="H431" s="2">
        <f t="shared" si="30"/>
        <v>5</v>
      </c>
      <c r="I431" s="2">
        <f t="shared" si="27"/>
        <v>2</v>
      </c>
    </row>
    <row r="432" spans="1:9" x14ac:dyDescent="0.25">
      <c r="A432" s="13" t="s">
        <v>93</v>
      </c>
      <c r="B432" s="2" t="s">
        <v>14</v>
      </c>
      <c r="C432" s="23" t="s">
        <v>20</v>
      </c>
      <c r="D432" s="16"/>
      <c r="E432" s="15">
        <v>24300</v>
      </c>
      <c r="F432" s="3">
        <f t="shared" si="28"/>
        <v>-24300</v>
      </c>
      <c r="G432" s="2">
        <f t="shared" si="29"/>
        <v>2026</v>
      </c>
      <c r="H432" s="2">
        <f t="shared" si="30"/>
        <v>5</v>
      </c>
      <c r="I432" s="2">
        <f t="shared" si="27"/>
        <v>2</v>
      </c>
    </row>
    <row r="433" spans="1:9" x14ac:dyDescent="0.25">
      <c r="A433" s="13" t="s">
        <v>93</v>
      </c>
      <c r="B433" s="2" t="s">
        <v>14</v>
      </c>
      <c r="C433" s="23" t="s">
        <v>100</v>
      </c>
      <c r="D433" s="16"/>
      <c r="E433" s="15">
        <v>3173.14</v>
      </c>
      <c r="F433" s="3">
        <f t="shared" si="28"/>
        <v>-3173.14</v>
      </c>
      <c r="G433" s="2">
        <f t="shared" si="29"/>
        <v>2026</v>
      </c>
      <c r="H433" s="2">
        <f t="shared" si="30"/>
        <v>5</v>
      </c>
      <c r="I433" s="2">
        <f t="shared" si="27"/>
        <v>2</v>
      </c>
    </row>
    <row r="434" spans="1:9" x14ac:dyDescent="0.25">
      <c r="A434" s="13" t="s">
        <v>93</v>
      </c>
      <c r="B434" s="2" t="s">
        <v>14</v>
      </c>
      <c r="C434" s="23" t="s">
        <v>27</v>
      </c>
      <c r="D434" s="16"/>
      <c r="E434" s="15">
        <v>16760</v>
      </c>
      <c r="F434" s="3">
        <f t="shared" si="28"/>
        <v>-16760</v>
      </c>
      <c r="G434" s="2">
        <f t="shared" si="29"/>
        <v>2026</v>
      </c>
      <c r="H434" s="2">
        <f t="shared" si="30"/>
        <v>5</v>
      </c>
      <c r="I434" s="2">
        <f t="shared" si="27"/>
        <v>2</v>
      </c>
    </row>
    <row r="435" spans="1:9" x14ac:dyDescent="0.25">
      <c r="A435" s="13" t="s">
        <v>93</v>
      </c>
      <c r="B435" s="2" t="s">
        <v>14</v>
      </c>
      <c r="C435" s="23" t="s">
        <v>15</v>
      </c>
      <c r="D435" s="16"/>
      <c r="E435" s="15">
        <v>116022.65</v>
      </c>
      <c r="F435" s="3">
        <f t="shared" si="28"/>
        <v>-116022.65</v>
      </c>
      <c r="G435" s="2">
        <f t="shared" si="29"/>
        <v>2026</v>
      </c>
      <c r="H435" s="2">
        <f t="shared" si="30"/>
        <v>5</v>
      </c>
      <c r="I435" s="2">
        <f t="shared" si="27"/>
        <v>2</v>
      </c>
    </row>
    <row r="436" spans="1:9" x14ac:dyDescent="0.25">
      <c r="A436" s="13" t="s">
        <v>94</v>
      </c>
      <c r="B436" s="2" t="s">
        <v>10</v>
      </c>
      <c r="C436" s="23" t="s">
        <v>11</v>
      </c>
      <c r="D436" s="15">
        <v>42620</v>
      </c>
      <c r="E436" s="16"/>
      <c r="F436" s="3">
        <f t="shared" si="28"/>
        <v>42620</v>
      </c>
      <c r="G436" s="2">
        <f t="shared" si="29"/>
        <v>2026</v>
      </c>
      <c r="H436" s="2">
        <f t="shared" si="30"/>
        <v>5</v>
      </c>
      <c r="I436" s="2">
        <f t="shared" si="27"/>
        <v>2</v>
      </c>
    </row>
    <row r="437" spans="1:9" x14ac:dyDescent="0.25">
      <c r="A437" s="13" t="s">
        <v>94</v>
      </c>
      <c r="B437" s="2" t="s">
        <v>10</v>
      </c>
      <c r="C437" s="23" t="s">
        <v>11</v>
      </c>
      <c r="D437" s="15">
        <v>9090</v>
      </c>
      <c r="E437" s="16"/>
      <c r="F437" s="3">
        <f t="shared" si="28"/>
        <v>9090</v>
      </c>
      <c r="G437" s="2">
        <f t="shared" si="29"/>
        <v>2026</v>
      </c>
      <c r="H437" s="2">
        <f t="shared" si="30"/>
        <v>5</v>
      </c>
      <c r="I437" s="2">
        <f t="shared" si="27"/>
        <v>2</v>
      </c>
    </row>
    <row r="438" spans="1:9" x14ac:dyDescent="0.25">
      <c r="A438" s="13" t="s">
        <v>94</v>
      </c>
      <c r="B438" s="2" t="s">
        <v>10</v>
      </c>
      <c r="C438" s="23" t="s">
        <v>11</v>
      </c>
      <c r="D438" s="15">
        <v>177860</v>
      </c>
      <c r="E438" s="16"/>
      <c r="F438" s="3">
        <f t="shared" si="28"/>
        <v>177860</v>
      </c>
      <c r="G438" s="2">
        <f t="shared" si="29"/>
        <v>2026</v>
      </c>
      <c r="H438" s="2">
        <f t="shared" si="30"/>
        <v>5</v>
      </c>
      <c r="I438" s="2">
        <f t="shared" si="27"/>
        <v>2</v>
      </c>
    </row>
    <row r="439" spans="1:9" x14ac:dyDescent="0.25">
      <c r="A439" s="13" t="s">
        <v>94</v>
      </c>
      <c r="B439" s="2" t="s">
        <v>10</v>
      </c>
      <c r="C439" s="23" t="s">
        <v>11</v>
      </c>
      <c r="D439" s="15">
        <v>20000</v>
      </c>
      <c r="E439" s="16"/>
      <c r="F439" s="3">
        <f t="shared" si="28"/>
        <v>20000</v>
      </c>
      <c r="G439" s="2">
        <f t="shared" si="29"/>
        <v>2026</v>
      </c>
      <c r="H439" s="2">
        <f t="shared" si="30"/>
        <v>5</v>
      </c>
      <c r="I439" s="2">
        <f t="shared" si="27"/>
        <v>2</v>
      </c>
    </row>
    <row r="440" spans="1:9" x14ac:dyDescent="0.25">
      <c r="A440" s="13" t="s">
        <v>94</v>
      </c>
      <c r="B440" s="2" t="s">
        <v>10</v>
      </c>
      <c r="C440" s="23" t="s">
        <v>11</v>
      </c>
      <c r="D440" s="15">
        <v>2574.5</v>
      </c>
      <c r="E440" s="16"/>
      <c r="F440" s="3">
        <f t="shared" si="28"/>
        <v>2574.5</v>
      </c>
      <c r="G440" s="2">
        <f t="shared" si="29"/>
        <v>2026</v>
      </c>
      <c r="H440" s="2">
        <f t="shared" si="30"/>
        <v>5</v>
      </c>
      <c r="I440" s="2">
        <f t="shared" si="27"/>
        <v>2</v>
      </c>
    </row>
    <row r="441" spans="1:9" x14ac:dyDescent="0.25">
      <c r="A441" s="13" t="s">
        <v>94</v>
      </c>
      <c r="B441" s="2" t="s">
        <v>10</v>
      </c>
      <c r="C441" s="19" t="s">
        <v>13</v>
      </c>
      <c r="D441" s="15">
        <v>6393</v>
      </c>
      <c r="E441" s="16"/>
      <c r="F441" s="3">
        <f t="shared" si="28"/>
        <v>6393</v>
      </c>
      <c r="G441" s="2">
        <f t="shared" si="29"/>
        <v>2026</v>
      </c>
      <c r="H441" s="2">
        <f t="shared" si="30"/>
        <v>5</v>
      </c>
      <c r="I441" s="2">
        <f t="shared" si="27"/>
        <v>2</v>
      </c>
    </row>
    <row r="442" spans="1:9" x14ac:dyDescent="0.25">
      <c r="A442" s="13" t="s">
        <v>94</v>
      </c>
      <c r="B442" s="2" t="s">
        <v>10</v>
      </c>
      <c r="C442" s="19" t="s">
        <v>13</v>
      </c>
      <c r="D442" s="15">
        <v>1363.5</v>
      </c>
      <c r="E442" s="16"/>
      <c r="F442" s="3">
        <f t="shared" si="28"/>
        <v>1363.5</v>
      </c>
      <c r="G442" s="2">
        <f t="shared" si="29"/>
        <v>2026</v>
      </c>
      <c r="H442" s="2">
        <f t="shared" si="30"/>
        <v>5</v>
      </c>
      <c r="I442" s="2">
        <f t="shared" si="27"/>
        <v>2</v>
      </c>
    </row>
    <row r="443" spans="1:9" x14ac:dyDescent="0.25">
      <c r="A443" s="13" t="s">
        <v>94</v>
      </c>
      <c r="B443" s="2" t="s">
        <v>10</v>
      </c>
      <c r="C443" s="19" t="s">
        <v>13</v>
      </c>
      <c r="D443" s="15">
        <v>26679</v>
      </c>
      <c r="E443" s="16"/>
      <c r="F443" s="3">
        <f t="shared" si="28"/>
        <v>26679</v>
      </c>
      <c r="G443" s="2">
        <f t="shared" si="29"/>
        <v>2026</v>
      </c>
      <c r="H443" s="2">
        <f t="shared" si="30"/>
        <v>5</v>
      </c>
      <c r="I443" s="2">
        <f t="shared" si="27"/>
        <v>2</v>
      </c>
    </row>
    <row r="444" spans="1:9" x14ac:dyDescent="0.25">
      <c r="A444" s="13" t="s">
        <v>94</v>
      </c>
      <c r="B444" s="2" t="s">
        <v>10</v>
      </c>
      <c r="C444" s="19" t="s">
        <v>13</v>
      </c>
      <c r="D444" s="15">
        <v>3000</v>
      </c>
      <c r="E444" s="16"/>
      <c r="F444" s="3">
        <f t="shared" si="28"/>
        <v>3000</v>
      </c>
      <c r="G444" s="2">
        <f t="shared" si="29"/>
        <v>2026</v>
      </c>
      <c r="H444" s="2">
        <f t="shared" si="30"/>
        <v>5</v>
      </c>
      <c r="I444" s="2">
        <f t="shared" si="27"/>
        <v>2</v>
      </c>
    </row>
    <row r="445" spans="1:9" x14ac:dyDescent="0.25">
      <c r="A445" s="13" t="s">
        <v>94</v>
      </c>
      <c r="B445" s="2" t="s">
        <v>10</v>
      </c>
      <c r="C445" s="19" t="s">
        <v>13</v>
      </c>
      <c r="D445" s="17">
        <v>386.17</v>
      </c>
      <c r="E445" s="16"/>
      <c r="F445" s="3">
        <f t="shared" si="28"/>
        <v>386.17</v>
      </c>
      <c r="G445" s="2">
        <f t="shared" si="29"/>
        <v>2026</v>
      </c>
      <c r="H445" s="2">
        <f t="shared" si="30"/>
        <v>5</v>
      </c>
      <c r="I445" s="2">
        <f t="shared" si="27"/>
        <v>2</v>
      </c>
    </row>
    <row r="446" spans="1:9" x14ac:dyDescent="0.25">
      <c r="A446" s="13" t="s">
        <v>94</v>
      </c>
      <c r="B446" s="2" t="s">
        <v>10</v>
      </c>
      <c r="C446" s="23" t="s">
        <v>12</v>
      </c>
      <c r="D446" s="17">
        <v>847.7</v>
      </c>
      <c r="E446" s="16"/>
      <c r="F446" s="3">
        <f t="shared" si="28"/>
        <v>847.7</v>
      </c>
      <c r="G446" s="2">
        <f t="shared" si="29"/>
        <v>2026</v>
      </c>
      <c r="H446" s="2">
        <f t="shared" si="30"/>
        <v>5</v>
      </c>
      <c r="I446" s="2">
        <f t="shared" si="27"/>
        <v>2</v>
      </c>
    </row>
    <row r="447" spans="1:9" x14ac:dyDescent="0.25">
      <c r="A447" s="13" t="s">
        <v>94</v>
      </c>
      <c r="B447" s="2" t="s">
        <v>14</v>
      </c>
      <c r="C447" s="19" t="s">
        <v>13</v>
      </c>
      <c r="D447" s="16"/>
      <c r="E447" s="15">
        <v>6393</v>
      </c>
      <c r="F447" s="3">
        <f t="shared" si="28"/>
        <v>-6393</v>
      </c>
      <c r="G447" s="2">
        <f t="shared" si="29"/>
        <v>2026</v>
      </c>
      <c r="H447" s="2">
        <f t="shared" si="30"/>
        <v>5</v>
      </c>
      <c r="I447" s="2">
        <f t="shared" si="27"/>
        <v>2</v>
      </c>
    </row>
    <row r="448" spans="1:9" x14ac:dyDescent="0.25">
      <c r="A448" s="13" t="s">
        <v>94</v>
      </c>
      <c r="B448" s="2" t="s">
        <v>14</v>
      </c>
      <c r="C448" s="23" t="s">
        <v>16</v>
      </c>
      <c r="D448" s="16"/>
      <c r="E448" s="15">
        <v>6828.09</v>
      </c>
      <c r="F448" s="3">
        <f t="shared" si="28"/>
        <v>-6828.09</v>
      </c>
      <c r="G448" s="2">
        <f t="shared" si="29"/>
        <v>2026</v>
      </c>
      <c r="H448" s="2">
        <f t="shared" si="30"/>
        <v>5</v>
      </c>
      <c r="I448" s="2">
        <f t="shared" si="27"/>
        <v>2</v>
      </c>
    </row>
    <row r="449" spans="1:9" x14ac:dyDescent="0.25">
      <c r="A449" s="13" t="s">
        <v>94</v>
      </c>
      <c r="B449" s="2" t="s">
        <v>14</v>
      </c>
      <c r="C449" s="23" t="s">
        <v>16</v>
      </c>
      <c r="D449" s="16"/>
      <c r="E449" s="15">
        <v>2407.6799999999998</v>
      </c>
      <c r="F449" s="3">
        <f t="shared" si="28"/>
        <v>-2407.6799999999998</v>
      </c>
      <c r="G449" s="2">
        <f t="shared" si="29"/>
        <v>2026</v>
      </c>
      <c r="H449" s="2">
        <f t="shared" si="30"/>
        <v>5</v>
      </c>
      <c r="I449" s="2">
        <f t="shared" si="27"/>
        <v>2</v>
      </c>
    </row>
    <row r="450" spans="1:9" x14ac:dyDescent="0.25">
      <c r="A450" s="13" t="s">
        <v>94</v>
      </c>
      <c r="B450" s="2" t="s">
        <v>14</v>
      </c>
      <c r="C450" s="19" t="s">
        <v>13</v>
      </c>
      <c r="D450" s="16"/>
      <c r="E450" s="15">
        <v>1363.5</v>
      </c>
      <c r="F450" s="3">
        <f t="shared" si="28"/>
        <v>-1363.5</v>
      </c>
      <c r="G450" s="2">
        <f t="shared" si="29"/>
        <v>2026</v>
      </c>
      <c r="H450" s="2">
        <f t="shared" si="30"/>
        <v>5</v>
      </c>
      <c r="I450" s="2">
        <f t="shared" si="27"/>
        <v>2</v>
      </c>
    </row>
    <row r="451" spans="1:9" x14ac:dyDescent="0.25">
      <c r="A451" s="13" t="s">
        <v>94</v>
      </c>
      <c r="B451" s="2" t="s">
        <v>14</v>
      </c>
      <c r="C451" s="23" t="s">
        <v>19</v>
      </c>
      <c r="D451" s="16"/>
      <c r="E451" s="15">
        <v>18000</v>
      </c>
      <c r="F451" s="3">
        <f t="shared" si="28"/>
        <v>-18000</v>
      </c>
      <c r="G451" s="2">
        <f t="shared" si="29"/>
        <v>2026</v>
      </c>
      <c r="H451" s="2">
        <f t="shared" si="30"/>
        <v>5</v>
      </c>
      <c r="I451" s="2">
        <f t="shared" si="27"/>
        <v>2</v>
      </c>
    </row>
    <row r="452" spans="1:9" ht="22.5" x14ac:dyDescent="0.25">
      <c r="A452" s="13" t="s">
        <v>94</v>
      </c>
      <c r="B452" s="2" t="s">
        <v>14</v>
      </c>
      <c r="C452" s="27" t="s">
        <v>19</v>
      </c>
      <c r="D452" s="16"/>
      <c r="E452" s="15">
        <v>4000</v>
      </c>
      <c r="F452" s="3">
        <f t="shared" si="28"/>
        <v>-4000</v>
      </c>
      <c r="G452" s="2">
        <f t="shared" si="29"/>
        <v>2026</v>
      </c>
      <c r="H452" s="2">
        <f t="shared" si="30"/>
        <v>5</v>
      </c>
      <c r="I452" s="2">
        <f t="shared" ref="I452:I515" si="31">ROUNDUP(H452/3,0)</f>
        <v>2</v>
      </c>
    </row>
    <row r="453" spans="1:9" x14ac:dyDescent="0.25">
      <c r="A453" s="13" t="s">
        <v>94</v>
      </c>
      <c r="B453" s="2" t="s">
        <v>14</v>
      </c>
      <c r="C453" s="19" t="s">
        <v>13</v>
      </c>
      <c r="D453" s="16"/>
      <c r="E453" s="15">
        <v>26679</v>
      </c>
      <c r="F453" s="3">
        <f t="shared" ref="F453:F516" si="32">D453-E453</f>
        <v>-26679</v>
      </c>
      <c r="G453" s="2">
        <f t="shared" ref="G453:G516" si="33">YEAR(A453)</f>
        <v>2026</v>
      </c>
      <c r="H453" s="2">
        <f t="shared" ref="H453:H516" si="34">MONTH(A453)</f>
        <v>5</v>
      </c>
      <c r="I453" s="2">
        <f t="shared" si="31"/>
        <v>2</v>
      </c>
    </row>
    <row r="454" spans="1:9" x14ac:dyDescent="0.25">
      <c r="A454" s="13" t="s">
        <v>94</v>
      </c>
      <c r="B454" s="2" t="s">
        <v>14</v>
      </c>
      <c r="C454" s="19" t="s">
        <v>13</v>
      </c>
      <c r="D454" s="16"/>
      <c r="E454" s="15">
        <v>3000</v>
      </c>
      <c r="F454" s="3">
        <f t="shared" si="32"/>
        <v>-3000</v>
      </c>
      <c r="G454" s="2">
        <f t="shared" si="33"/>
        <v>2026</v>
      </c>
      <c r="H454" s="2">
        <f t="shared" si="34"/>
        <v>5</v>
      </c>
      <c r="I454" s="2">
        <f t="shared" si="31"/>
        <v>2</v>
      </c>
    </row>
    <row r="455" spans="1:9" x14ac:dyDescent="0.25">
      <c r="A455" s="13" t="s">
        <v>94</v>
      </c>
      <c r="B455" s="2" t="s">
        <v>14</v>
      </c>
      <c r="C455" s="19" t="s">
        <v>13</v>
      </c>
      <c r="D455" s="16"/>
      <c r="E455" s="17">
        <v>386.17</v>
      </c>
      <c r="F455" s="3">
        <f t="shared" si="32"/>
        <v>-386.17</v>
      </c>
      <c r="G455" s="2">
        <f t="shared" si="33"/>
        <v>2026</v>
      </c>
      <c r="H455" s="2">
        <f t="shared" si="34"/>
        <v>5</v>
      </c>
      <c r="I455" s="2">
        <f t="shared" si="31"/>
        <v>2</v>
      </c>
    </row>
    <row r="456" spans="1:9" x14ac:dyDescent="0.25">
      <c r="A456" s="13" t="s">
        <v>95</v>
      </c>
      <c r="B456" s="2" t="s">
        <v>10</v>
      </c>
      <c r="C456" s="23" t="s">
        <v>11</v>
      </c>
      <c r="D456" s="15">
        <v>91912.5</v>
      </c>
      <c r="E456" s="16"/>
      <c r="F456" s="3">
        <f t="shared" si="32"/>
        <v>91912.5</v>
      </c>
      <c r="G456" s="2">
        <f t="shared" si="33"/>
        <v>2026</v>
      </c>
      <c r="H456" s="2">
        <f t="shared" si="34"/>
        <v>5</v>
      </c>
      <c r="I456" s="2">
        <f t="shared" si="31"/>
        <v>2</v>
      </c>
    </row>
    <row r="457" spans="1:9" x14ac:dyDescent="0.25">
      <c r="A457" s="13" t="s">
        <v>95</v>
      </c>
      <c r="B457" s="2" t="s">
        <v>10</v>
      </c>
      <c r="C457" s="23" t="s">
        <v>11</v>
      </c>
      <c r="D457" s="15">
        <v>54833</v>
      </c>
      <c r="E457" s="16"/>
      <c r="F457" s="3">
        <f t="shared" si="32"/>
        <v>54833</v>
      </c>
      <c r="G457" s="2">
        <f t="shared" si="33"/>
        <v>2026</v>
      </c>
      <c r="H457" s="2">
        <f t="shared" si="34"/>
        <v>5</v>
      </c>
      <c r="I457" s="2">
        <f t="shared" si="31"/>
        <v>2</v>
      </c>
    </row>
    <row r="458" spans="1:9" x14ac:dyDescent="0.25">
      <c r="A458" s="13" t="s">
        <v>95</v>
      </c>
      <c r="B458" s="2" t="s">
        <v>10</v>
      </c>
      <c r="C458" s="23" t="s">
        <v>11</v>
      </c>
      <c r="D458" s="15">
        <v>15070</v>
      </c>
      <c r="E458" s="16"/>
      <c r="F458" s="3">
        <f t="shared" si="32"/>
        <v>15070</v>
      </c>
      <c r="G458" s="2">
        <f t="shared" si="33"/>
        <v>2026</v>
      </c>
      <c r="H458" s="2">
        <f t="shared" si="34"/>
        <v>5</v>
      </c>
      <c r="I458" s="2">
        <f t="shared" si="31"/>
        <v>2</v>
      </c>
    </row>
    <row r="459" spans="1:9" x14ac:dyDescent="0.25">
      <c r="A459" s="13" t="s">
        <v>95</v>
      </c>
      <c r="B459" s="2" t="s">
        <v>10</v>
      </c>
      <c r="C459" s="23" t="s">
        <v>11</v>
      </c>
      <c r="D459" s="15">
        <v>14900</v>
      </c>
      <c r="E459" s="16"/>
      <c r="F459" s="3">
        <f t="shared" si="32"/>
        <v>14900</v>
      </c>
      <c r="G459" s="2">
        <f t="shared" si="33"/>
        <v>2026</v>
      </c>
      <c r="H459" s="2">
        <f t="shared" si="34"/>
        <v>5</v>
      </c>
      <c r="I459" s="2">
        <f t="shared" si="31"/>
        <v>2</v>
      </c>
    </row>
    <row r="460" spans="1:9" x14ac:dyDescent="0.25">
      <c r="A460" s="13" t="s">
        <v>95</v>
      </c>
      <c r="B460" s="2" t="s">
        <v>10</v>
      </c>
      <c r="C460" s="23" t="s">
        <v>11</v>
      </c>
      <c r="D460" s="15">
        <v>10000</v>
      </c>
      <c r="E460" s="16"/>
      <c r="F460" s="3">
        <f t="shared" si="32"/>
        <v>10000</v>
      </c>
      <c r="G460" s="2">
        <f t="shared" si="33"/>
        <v>2026</v>
      </c>
      <c r="H460" s="2">
        <f t="shared" si="34"/>
        <v>5</v>
      </c>
      <c r="I460" s="2">
        <f t="shared" si="31"/>
        <v>2</v>
      </c>
    </row>
    <row r="461" spans="1:9" x14ac:dyDescent="0.25">
      <c r="A461" s="13" t="s">
        <v>95</v>
      </c>
      <c r="B461" s="2" t="s">
        <v>10</v>
      </c>
      <c r="C461" s="23" t="s">
        <v>11</v>
      </c>
      <c r="D461" s="15">
        <v>24872.400000000001</v>
      </c>
      <c r="E461" s="16"/>
      <c r="F461" s="3">
        <f t="shared" si="32"/>
        <v>24872.400000000001</v>
      </c>
      <c r="G461" s="2">
        <f t="shared" si="33"/>
        <v>2026</v>
      </c>
      <c r="H461" s="2">
        <f t="shared" si="34"/>
        <v>5</v>
      </c>
      <c r="I461" s="2">
        <f t="shared" si="31"/>
        <v>2</v>
      </c>
    </row>
    <row r="462" spans="1:9" x14ac:dyDescent="0.25">
      <c r="A462" s="13" t="s">
        <v>95</v>
      </c>
      <c r="B462" s="2" t="s">
        <v>10</v>
      </c>
      <c r="C462" s="19" t="s">
        <v>13</v>
      </c>
      <c r="D462" s="15">
        <v>13786.87</v>
      </c>
      <c r="E462" s="16"/>
      <c r="F462" s="3">
        <f t="shared" si="32"/>
        <v>13786.87</v>
      </c>
      <c r="G462" s="2">
        <f t="shared" si="33"/>
        <v>2026</v>
      </c>
      <c r="H462" s="2">
        <f t="shared" si="34"/>
        <v>5</v>
      </c>
      <c r="I462" s="2">
        <f t="shared" si="31"/>
        <v>2</v>
      </c>
    </row>
    <row r="463" spans="1:9" x14ac:dyDescent="0.25">
      <c r="A463" s="13" t="s">
        <v>95</v>
      </c>
      <c r="B463" s="2" t="s">
        <v>10</v>
      </c>
      <c r="C463" s="19" t="s">
        <v>13</v>
      </c>
      <c r="D463" s="15">
        <v>8224.9500000000007</v>
      </c>
      <c r="E463" s="16"/>
      <c r="F463" s="3">
        <f t="shared" si="32"/>
        <v>8224.9500000000007</v>
      </c>
      <c r="G463" s="2">
        <f t="shared" si="33"/>
        <v>2026</v>
      </c>
      <c r="H463" s="2">
        <f t="shared" si="34"/>
        <v>5</v>
      </c>
      <c r="I463" s="2">
        <f t="shared" si="31"/>
        <v>2</v>
      </c>
    </row>
    <row r="464" spans="1:9" x14ac:dyDescent="0.25">
      <c r="A464" s="13" t="s">
        <v>95</v>
      </c>
      <c r="B464" s="2" t="s">
        <v>10</v>
      </c>
      <c r="C464" s="19" t="s">
        <v>13</v>
      </c>
      <c r="D464" s="15">
        <v>2260.5</v>
      </c>
      <c r="E464" s="16"/>
      <c r="F464" s="3">
        <f t="shared" si="32"/>
        <v>2260.5</v>
      </c>
      <c r="G464" s="2">
        <f t="shared" si="33"/>
        <v>2026</v>
      </c>
      <c r="H464" s="2">
        <f t="shared" si="34"/>
        <v>5</v>
      </c>
      <c r="I464" s="2">
        <f t="shared" si="31"/>
        <v>2</v>
      </c>
    </row>
    <row r="465" spans="1:9" x14ac:dyDescent="0.25">
      <c r="A465" s="13" t="s">
        <v>95</v>
      </c>
      <c r="B465" s="2" t="s">
        <v>10</v>
      </c>
      <c r="C465" s="19" t="s">
        <v>13</v>
      </c>
      <c r="D465" s="15">
        <v>2235</v>
      </c>
      <c r="E465" s="16"/>
      <c r="F465" s="3">
        <f t="shared" si="32"/>
        <v>2235</v>
      </c>
      <c r="G465" s="2">
        <f t="shared" si="33"/>
        <v>2026</v>
      </c>
      <c r="H465" s="2">
        <f t="shared" si="34"/>
        <v>5</v>
      </c>
      <c r="I465" s="2">
        <f t="shared" si="31"/>
        <v>2</v>
      </c>
    </row>
    <row r="466" spans="1:9" x14ac:dyDescent="0.25">
      <c r="A466" s="13" t="s">
        <v>95</v>
      </c>
      <c r="B466" s="2" t="s">
        <v>10</v>
      </c>
      <c r="C466" s="19" t="s">
        <v>13</v>
      </c>
      <c r="D466" s="15">
        <v>1500</v>
      </c>
      <c r="E466" s="16"/>
      <c r="F466" s="3">
        <f t="shared" si="32"/>
        <v>1500</v>
      </c>
      <c r="G466" s="2">
        <f t="shared" si="33"/>
        <v>2026</v>
      </c>
      <c r="H466" s="2">
        <f t="shared" si="34"/>
        <v>5</v>
      </c>
      <c r="I466" s="2">
        <f t="shared" si="31"/>
        <v>2</v>
      </c>
    </row>
    <row r="467" spans="1:9" x14ac:dyDescent="0.25">
      <c r="A467" s="13" t="s">
        <v>95</v>
      </c>
      <c r="B467" s="2" t="s">
        <v>10</v>
      </c>
      <c r="C467" s="19" t="s">
        <v>13</v>
      </c>
      <c r="D467" s="15">
        <v>3730.86</v>
      </c>
      <c r="E467" s="16"/>
      <c r="F467" s="3">
        <f t="shared" si="32"/>
        <v>3730.86</v>
      </c>
      <c r="G467" s="2">
        <f t="shared" si="33"/>
        <v>2026</v>
      </c>
      <c r="H467" s="2">
        <f t="shared" si="34"/>
        <v>5</v>
      </c>
      <c r="I467" s="2">
        <f t="shared" si="31"/>
        <v>2</v>
      </c>
    </row>
    <row r="468" spans="1:9" x14ac:dyDescent="0.25">
      <c r="A468" s="13" t="s">
        <v>95</v>
      </c>
      <c r="B468" s="2" t="s">
        <v>10</v>
      </c>
      <c r="C468" s="23" t="s">
        <v>12</v>
      </c>
      <c r="D468" s="15">
        <v>3575.97</v>
      </c>
      <c r="E468" s="16"/>
      <c r="F468" s="3">
        <f t="shared" si="32"/>
        <v>3575.97</v>
      </c>
      <c r="G468" s="2">
        <f t="shared" si="33"/>
        <v>2026</v>
      </c>
      <c r="H468" s="2">
        <f t="shared" si="34"/>
        <v>5</v>
      </c>
      <c r="I468" s="2">
        <f t="shared" si="31"/>
        <v>2</v>
      </c>
    </row>
    <row r="469" spans="1:9" x14ac:dyDescent="0.25">
      <c r="A469" s="13" t="s">
        <v>95</v>
      </c>
      <c r="B469" s="2" t="s">
        <v>14</v>
      </c>
      <c r="C469" s="19" t="s">
        <v>25</v>
      </c>
      <c r="D469" s="16"/>
      <c r="E469" s="15">
        <v>89656</v>
      </c>
      <c r="F469" s="3">
        <f t="shared" si="32"/>
        <v>-89656</v>
      </c>
      <c r="G469" s="2">
        <f t="shared" si="33"/>
        <v>2026</v>
      </c>
      <c r="H469" s="2">
        <f t="shared" si="34"/>
        <v>5</v>
      </c>
      <c r="I469" s="2">
        <f t="shared" si="31"/>
        <v>2</v>
      </c>
    </row>
    <row r="470" spans="1:9" x14ac:dyDescent="0.25">
      <c r="A470" s="13" t="s">
        <v>95</v>
      </c>
      <c r="B470" s="2" t="s">
        <v>14</v>
      </c>
      <c r="C470" s="23" t="s">
        <v>29</v>
      </c>
      <c r="D470" s="16"/>
      <c r="E470" s="15">
        <v>6000</v>
      </c>
      <c r="F470" s="3">
        <f t="shared" si="32"/>
        <v>-6000</v>
      </c>
      <c r="G470" s="2">
        <f t="shared" si="33"/>
        <v>2026</v>
      </c>
      <c r="H470" s="2">
        <f t="shared" si="34"/>
        <v>5</v>
      </c>
      <c r="I470" s="2">
        <f t="shared" si="31"/>
        <v>2</v>
      </c>
    </row>
    <row r="471" spans="1:9" x14ac:dyDescent="0.25">
      <c r="A471" s="13" t="s">
        <v>95</v>
      </c>
      <c r="B471" s="2" t="s">
        <v>14</v>
      </c>
      <c r="C471" s="23" t="s">
        <v>100</v>
      </c>
      <c r="D471" s="16"/>
      <c r="E471" s="17">
        <v>30.87</v>
      </c>
      <c r="F471" s="3">
        <f t="shared" si="32"/>
        <v>-30.87</v>
      </c>
      <c r="G471" s="2">
        <f t="shared" si="33"/>
        <v>2026</v>
      </c>
      <c r="H471" s="2">
        <f t="shared" si="34"/>
        <v>5</v>
      </c>
      <c r="I471" s="2">
        <f t="shared" si="31"/>
        <v>2</v>
      </c>
    </row>
    <row r="472" spans="1:9" x14ac:dyDescent="0.25">
      <c r="A472" s="13" t="s">
        <v>95</v>
      </c>
      <c r="B472" s="2" t="s">
        <v>14</v>
      </c>
      <c r="C472" s="19" t="s">
        <v>13</v>
      </c>
      <c r="D472" s="16"/>
      <c r="E472" s="15">
        <v>13786.87</v>
      </c>
      <c r="F472" s="3">
        <f t="shared" si="32"/>
        <v>-13786.87</v>
      </c>
      <c r="G472" s="2">
        <f t="shared" si="33"/>
        <v>2026</v>
      </c>
      <c r="H472" s="2">
        <f t="shared" si="34"/>
        <v>5</v>
      </c>
      <c r="I472" s="2">
        <f t="shared" si="31"/>
        <v>2</v>
      </c>
    </row>
    <row r="473" spans="1:9" x14ac:dyDescent="0.25">
      <c r="A473" s="13" t="s">
        <v>95</v>
      </c>
      <c r="B473" s="2" t="s">
        <v>14</v>
      </c>
      <c r="C473" s="19" t="s">
        <v>13</v>
      </c>
      <c r="D473" s="16"/>
      <c r="E473" s="15">
        <v>8224.9500000000007</v>
      </c>
      <c r="F473" s="3">
        <f t="shared" si="32"/>
        <v>-8224.9500000000007</v>
      </c>
      <c r="G473" s="2">
        <f t="shared" si="33"/>
        <v>2026</v>
      </c>
      <c r="H473" s="2">
        <f t="shared" si="34"/>
        <v>5</v>
      </c>
      <c r="I473" s="2">
        <f t="shared" si="31"/>
        <v>2</v>
      </c>
    </row>
    <row r="474" spans="1:9" x14ac:dyDescent="0.25">
      <c r="A474" s="13" t="s">
        <v>95</v>
      </c>
      <c r="B474" s="2" t="s">
        <v>14</v>
      </c>
      <c r="C474" s="19" t="s">
        <v>13</v>
      </c>
      <c r="D474" s="16"/>
      <c r="E474" s="15">
        <v>2260.5</v>
      </c>
      <c r="F474" s="3">
        <f t="shared" si="32"/>
        <v>-2260.5</v>
      </c>
      <c r="G474" s="2">
        <f t="shared" si="33"/>
        <v>2026</v>
      </c>
      <c r="H474" s="2">
        <f t="shared" si="34"/>
        <v>5</v>
      </c>
      <c r="I474" s="2">
        <f t="shared" si="31"/>
        <v>2</v>
      </c>
    </row>
    <row r="475" spans="1:9" x14ac:dyDescent="0.25">
      <c r="A475" s="13" t="s">
        <v>95</v>
      </c>
      <c r="B475" s="2" t="s">
        <v>14</v>
      </c>
      <c r="C475" s="23" t="s">
        <v>20</v>
      </c>
      <c r="D475" s="16"/>
      <c r="E475" s="15">
        <v>32000</v>
      </c>
      <c r="F475" s="3">
        <f t="shared" si="32"/>
        <v>-32000</v>
      </c>
      <c r="G475" s="2">
        <f t="shared" si="33"/>
        <v>2026</v>
      </c>
      <c r="H475" s="2">
        <f t="shared" si="34"/>
        <v>5</v>
      </c>
      <c r="I475" s="2">
        <f t="shared" si="31"/>
        <v>2</v>
      </c>
    </row>
    <row r="476" spans="1:9" x14ac:dyDescent="0.25">
      <c r="A476" s="13" t="s">
        <v>95</v>
      </c>
      <c r="B476" s="2" t="s">
        <v>14</v>
      </c>
      <c r="C476" s="19" t="s">
        <v>13</v>
      </c>
      <c r="D476" s="16"/>
      <c r="E476" s="15">
        <v>2235</v>
      </c>
      <c r="F476" s="3">
        <f t="shared" si="32"/>
        <v>-2235</v>
      </c>
      <c r="G476" s="2">
        <f t="shared" si="33"/>
        <v>2026</v>
      </c>
      <c r="H476" s="2">
        <f t="shared" si="34"/>
        <v>5</v>
      </c>
      <c r="I476" s="2">
        <f t="shared" si="31"/>
        <v>2</v>
      </c>
    </row>
    <row r="477" spans="1:9" x14ac:dyDescent="0.25">
      <c r="A477" s="13" t="s">
        <v>95</v>
      </c>
      <c r="B477" s="2" t="s">
        <v>14</v>
      </c>
      <c r="C477" s="19" t="s">
        <v>13</v>
      </c>
      <c r="D477" s="16"/>
      <c r="E477" s="15">
        <v>1500</v>
      </c>
      <c r="F477" s="3">
        <f t="shared" si="32"/>
        <v>-1500</v>
      </c>
      <c r="G477" s="2">
        <f t="shared" si="33"/>
        <v>2026</v>
      </c>
      <c r="H477" s="2">
        <f t="shared" si="34"/>
        <v>5</v>
      </c>
      <c r="I477" s="2">
        <f t="shared" si="31"/>
        <v>2</v>
      </c>
    </row>
    <row r="478" spans="1:9" x14ac:dyDescent="0.25">
      <c r="A478" s="13" t="s">
        <v>95</v>
      </c>
      <c r="B478" s="2" t="s">
        <v>14</v>
      </c>
      <c r="C478" s="19" t="s">
        <v>13</v>
      </c>
      <c r="D478" s="16"/>
      <c r="E478" s="15">
        <v>3730.86</v>
      </c>
      <c r="F478" s="3">
        <f t="shared" si="32"/>
        <v>-3730.86</v>
      </c>
      <c r="G478" s="2">
        <f t="shared" si="33"/>
        <v>2026</v>
      </c>
      <c r="H478" s="2">
        <f t="shared" si="34"/>
        <v>5</v>
      </c>
      <c r="I478" s="2">
        <f t="shared" si="31"/>
        <v>2</v>
      </c>
    </row>
    <row r="479" spans="1:9" x14ac:dyDescent="0.25">
      <c r="A479" s="13" t="s">
        <v>95</v>
      </c>
      <c r="B479" s="2" t="s">
        <v>14</v>
      </c>
      <c r="C479" s="23" t="s">
        <v>24</v>
      </c>
      <c r="D479" s="16"/>
      <c r="E479" s="15">
        <v>7500</v>
      </c>
      <c r="F479" s="3">
        <f t="shared" si="32"/>
        <v>-7500</v>
      </c>
      <c r="G479" s="2">
        <f t="shared" si="33"/>
        <v>2026</v>
      </c>
      <c r="H479" s="2">
        <f t="shared" si="34"/>
        <v>5</v>
      </c>
      <c r="I479" s="2">
        <f t="shared" si="31"/>
        <v>2</v>
      </c>
    </row>
    <row r="480" spans="1:9" x14ac:dyDescent="0.25">
      <c r="A480" s="13" t="s">
        <v>95</v>
      </c>
      <c r="B480" s="2" t="s">
        <v>14</v>
      </c>
      <c r="C480" s="19" t="s">
        <v>26</v>
      </c>
      <c r="D480" s="16"/>
      <c r="E480" s="15">
        <v>300000</v>
      </c>
      <c r="F480" s="3">
        <f t="shared" si="32"/>
        <v>-300000</v>
      </c>
      <c r="G480" s="2">
        <f t="shared" si="33"/>
        <v>2026</v>
      </c>
      <c r="H480" s="2">
        <f t="shared" si="34"/>
        <v>5</v>
      </c>
      <c r="I480" s="2">
        <f t="shared" si="31"/>
        <v>2</v>
      </c>
    </row>
    <row r="481" spans="1:9" x14ac:dyDescent="0.25">
      <c r="A481" s="13" t="s">
        <v>95</v>
      </c>
      <c r="B481" s="2" t="s">
        <v>14</v>
      </c>
      <c r="C481" s="19" t="s">
        <v>26</v>
      </c>
      <c r="D481" s="16"/>
      <c r="E481" s="15">
        <v>300000</v>
      </c>
      <c r="F481" s="3">
        <f t="shared" si="32"/>
        <v>-300000</v>
      </c>
      <c r="G481" s="2">
        <f t="shared" si="33"/>
        <v>2026</v>
      </c>
      <c r="H481" s="2">
        <f t="shared" si="34"/>
        <v>5</v>
      </c>
      <c r="I481" s="2">
        <f t="shared" si="31"/>
        <v>2</v>
      </c>
    </row>
    <row r="482" spans="1:9" x14ac:dyDescent="0.25">
      <c r="A482" s="13" t="s">
        <v>95</v>
      </c>
      <c r="B482" s="2" t="s">
        <v>14</v>
      </c>
      <c r="C482" s="23" t="s">
        <v>23</v>
      </c>
      <c r="D482" s="16"/>
      <c r="E482" s="15">
        <v>10000000</v>
      </c>
      <c r="F482" s="3">
        <f t="shared" si="32"/>
        <v>-10000000</v>
      </c>
      <c r="G482" s="2">
        <f t="shared" si="33"/>
        <v>2026</v>
      </c>
      <c r="H482" s="2">
        <f t="shared" si="34"/>
        <v>5</v>
      </c>
      <c r="I482" s="2">
        <f t="shared" si="31"/>
        <v>2</v>
      </c>
    </row>
    <row r="483" spans="1:9" x14ac:dyDescent="0.25">
      <c r="A483" s="13" t="s">
        <v>96</v>
      </c>
      <c r="B483" s="2" t="s">
        <v>10</v>
      </c>
      <c r="C483" s="23" t="s">
        <v>11</v>
      </c>
      <c r="D483" s="15">
        <v>11955</v>
      </c>
      <c r="E483" s="16"/>
      <c r="F483" s="3">
        <f t="shared" si="32"/>
        <v>11955</v>
      </c>
      <c r="G483" s="2">
        <f t="shared" si="33"/>
        <v>2026</v>
      </c>
      <c r="H483" s="2">
        <f t="shared" si="34"/>
        <v>5</v>
      </c>
      <c r="I483" s="2">
        <f t="shared" si="31"/>
        <v>2</v>
      </c>
    </row>
    <row r="484" spans="1:9" x14ac:dyDescent="0.25">
      <c r="A484" s="13" t="s">
        <v>96</v>
      </c>
      <c r="B484" s="2" t="s">
        <v>10</v>
      </c>
      <c r="C484" s="23" t="s">
        <v>11</v>
      </c>
      <c r="D484" s="15">
        <v>2528.4</v>
      </c>
      <c r="E484" s="16"/>
      <c r="F484" s="3">
        <f t="shared" si="32"/>
        <v>2528.4</v>
      </c>
      <c r="G484" s="2">
        <f t="shared" si="33"/>
        <v>2026</v>
      </c>
      <c r="H484" s="2">
        <f t="shared" si="34"/>
        <v>5</v>
      </c>
      <c r="I484" s="2">
        <f t="shared" si="31"/>
        <v>2</v>
      </c>
    </row>
    <row r="485" spans="1:9" x14ac:dyDescent="0.25">
      <c r="A485" s="13" t="s">
        <v>96</v>
      </c>
      <c r="B485" s="2" t="s">
        <v>10</v>
      </c>
      <c r="C485" s="23" t="s">
        <v>11</v>
      </c>
      <c r="D485" s="15">
        <v>27885.9</v>
      </c>
      <c r="E485" s="16"/>
      <c r="F485" s="3">
        <f t="shared" si="32"/>
        <v>27885.9</v>
      </c>
      <c r="G485" s="2">
        <f t="shared" si="33"/>
        <v>2026</v>
      </c>
      <c r="H485" s="2">
        <f t="shared" si="34"/>
        <v>5</v>
      </c>
      <c r="I485" s="2">
        <f t="shared" si="31"/>
        <v>2</v>
      </c>
    </row>
    <row r="486" spans="1:9" x14ac:dyDescent="0.25">
      <c r="A486" s="13" t="s">
        <v>96</v>
      </c>
      <c r="B486" s="2" t="s">
        <v>10</v>
      </c>
      <c r="C486" s="23" t="s">
        <v>11</v>
      </c>
      <c r="D486" s="15">
        <v>10000</v>
      </c>
      <c r="E486" s="16"/>
      <c r="F486" s="3">
        <f t="shared" si="32"/>
        <v>10000</v>
      </c>
      <c r="G486" s="2">
        <f t="shared" si="33"/>
        <v>2026</v>
      </c>
      <c r="H486" s="2">
        <f t="shared" si="34"/>
        <v>5</v>
      </c>
      <c r="I486" s="2">
        <f t="shared" si="31"/>
        <v>2</v>
      </c>
    </row>
    <row r="487" spans="1:9" x14ac:dyDescent="0.25">
      <c r="A487" s="13" t="s">
        <v>96</v>
      </c>
      <c r="B487" s="2" t="s">
        <v>10</v>
      </c>
      <c r="C487" s="19" t="s">
        <v>13</v>
      </c>
      <c r="D487" s="15">
        <v>1793.25</v>
      </c>
      <c r="E487" s="16"/>
      <c r="F487" s="3">
        <f t="shared" si="32"/>
        <v>1793.25</v>
      </c>
      <c r="G487" s="2">
        <f t="shared" si="33"/>
        <v>2026</v>
      </c>
      <c r="H487" s="2">
        <f t="shared" si="34"/>
        <v>5</v>
      </c>
      <c r="I487" s="2">
        <f t="shared" si="31"/>
        <v>2</v>
      </c>
    </row>
    <row r="488" spans="1:9" x14ac:dyDescent="0.25">
      <c r="A488" s="13" t="s">
        <v>96</v>
      </c>
      <c r="B488" s="2" t="s">
        <v>10</v>
      </c>
      <c r="C488" s="19" t="s">
        <v>13</v>
      </c>
      <c r="D488" s="17">
        <v>379.26</v>
      </c>
      <c r="E488" s="16"/>
      <c r="F488" s="3">
        <f t="shared" si="32"/>
        <v>379.26</v>
      </c>
      <c r="G488" s="2">
        <f t="shared" si="33"/>
        <v>2026</v>
      </c>
      <c r="H488" s="2">
        <f t="shared" si="34"/>
        <v>5</v>
      </c>
      <c r="I488" s="2">
        <f t="shared" si="31"/>
        <v>2</v>
      </c>
    </row>
    <row r="489" spans="1:9" x14ac:dyDescent="0.25">
      <c r="A489" s="13" t="s">
        <v>96</v>
      </c>
      <c r="B489" s="2" t="s">
        <v>10</v>
      </c>
      <c r="C489" s="19" t="s">
        <v>13</v>
      </c>
      <c r="D489" s="15">
        <v>4182.88</v>
      </c>
      <c r="E489" s="16"/>
      <c r="F489" s="3">
        <f t="shared" si="32"/>
        <v>4182.88</v>
      </c>
      <c r="G489" s="2">
        <f t="shared" si="33"/>
        <v>2026</v>
      </c>
      <c r="H489" s="2">
        <f t="shared" si="34"/>
        <v>5</v>
      </c>
      <c r="I489" s="2">
        <f t="shared" si="31"/>
        <v>2</v>
      </c>
    </row>
    <row r="490" spans="1:9" x14ac:dyDescent="0.25">
      <c r="A490" s="13" t="s">
        <v>96</v>
      </c>
      <c r="B490" s="2" t="s">
        <v>10</v>
      </c>
      <c r="C490" s="19" t="s">
        <v>13</v>
      </c>
      <c r="D490" s="15">
        <v>1500</v>
      </c>
      <c r="E490" s="16"/>
      <c r="F490" s="3">
        <f t="shared" si="32"/>
        <v>1500</v>
      </c>
      <c r="G490" s="2">
        <f t="shared" si="33"/>
        <v>2026</v>
      </c>
      <c r="H490" s="2">
        <f t="shared" si="34"/>
        <v>5</v>
      </c>
      <c r="I490" s="2">
        <f t="shared" si="31"/>
        <v>2</v>
      </c>
    </row>
    <row r="491" spans="1:9" x14ac:dyDescent="0.25">
      <c r="A491" s="13" t="s">
        <v>96</v>
      </c>
      <c r="B491" s="2" t="s">
        <v>10</v>
      </c>
      <c r="C491" s="23" t="s">
        <v>12</v>
      </c>
      <c r="D491" s="15">
        <v>1252.07</v>
      </c>
      <c r="E491" s="16"/>
      <c r="F491" s="3">
        <f t="shared" si="32"/>
        <v>1252.07</v>
      </c>
      <c r="G491" s="2">
        <f t="shared" si="33"/>
        <v>2026</v>
      </c>
      <c r="H491" s="2">
        <f t="shared" si="34"/>
        <v>5</v>
      </c>
      <c r="I491" s="2">
        <f t="shared" si="31"/>
        <v>2</v>
      </c>
    </row>
    <row r="492" spans="1:9" x14ac:dyDescent="0.25">
      <c r="A492" s="13" t="s">
        <v>96</v>
      </c>
      <c r="B492" s="2" t="s">
        <v>10</v>
      </c>
      <c r="C492" s="19" t="s">
        <v>22</v>
      </c>
      <c r="D492" s="15">
        <v>35773.15</v>
      </c>
      <c r="E492" s="16"/>
      <c r="F492" s="3">
        <f t="shared" si="32"/>
        <v>35773.15</v>
      </c>
      <c r="G492" s="2">
        <f t="shared" si="33"/>
        <v>2026</v>
      </c>
      <c r="H492" s="2">
        <f t="shared" si="34"/>
        <v>5</v>
      </c>
      <c r="I492" s="2">
        <f t="shared" si="31"/>
        <v>2</v>
      </c>
    </row>
    <row r="493" spans="1:9" x14ac:dyDescent="0.25">
      <c r="A493" s="13" t="s">
        <v>96</v>
      </c>
      <c r="B493" s="2" t="s">
        <v>10</v>
      </c>
      <c r="C493" s="23" t="s">
        <v>23</v>
      </c>
      <c r="D493" s="15">
        <v>4000000</v>
      </c>
      <c r="E493" s="16"/>
      <c r="F493" s="3">
        <f t="shared" si="32"/>
        <v>4000000</v>
      </c>
      <c r="G493" s="2">
        <f t="shared" si="33"/>
        <v>2026</v>
      </c>
      <c r="H493" s="2">
        <f t="shared" si="34"/>
        <v>5</v>
      </c>
      <c r="I493" s="2">
        <f t="shared" si="31"/>
        <v>2</v>
      </c>
    </row>
    <row r="494" spans="1:9" x14ac:dyDescent="0.25">
      <c r="A494" s="13" t="s">
        <v>96</v>
      </c>
      <c r="B494" s="2" t="s">
        <v>14</v>
      </c>
      <c r="C494" s="19" t="s">
        <v>13</v>
      </c>
      <c r="D494" s="16"/>
      <c r="E494" s="15">
        <v>1793.25</v>
      </c>
      <c r="F494" s="3">
        <f t="shared" si="32"/>
        <v>-1793.25</v>
      </c>
      <c r="G494" s="2">
        <f t="shared" si="33"/>
        <v>2026</v>
      </c>
      <c r="H494" s="2">
        <f t="shared" si="34"/>
        <v>5</v>
      </c>
      <c r="I494" s="2">
        <f t="shared" si="31"/>
        <v>2</v>
      </c>
    </row>
    <row r="495" spans="1:9" x14ac:dyDescent="0.25">
      <c r="A495" s="13" t="s">
        <v>96</v>
      </c>
      <c r="B495" s="2" t="s">
        <v>14</v>
      </c>
      <c r="C495" s="23" t="s">
        <v>20</v>
      </c>
      <c r="D495" s="16"/>
      <c r="E495" s="15">
        <v>95980</v>
      </c>
      <c r="F495" s="3">
        <f t="shared" si="32"/>
        <v>-95980</v>
      </c>
      <c r="G495" s="2">
        <f t="shared" si="33"/>
        <v>2026</v>
      </c>
      <c r="H495" s="2">
        <f t="shared" si="34"/>
        <v>5</v>
      </c>
      <c r="I495" s="2">
        <f t="shared" si="31"/>
        <v>2</v>
      </c>
    </row>
    <row r="496" spans="1:9" x14ac:dyDescent="0.25">
      <c r="A496" s="13" t="s">
        <v>96</v>
      </c>
      <c r="B496" s="2" t="s">
        <v>14</v>
      </c>
      <c r="C496" s="19" t="s">
        <v>13</v>
      </c>
      <c r="D496" s="16"/>
      <c r="E496" s="17">
        <v>379.26</v>
      </c>
      <c r="F496" s="3">
        <f t="shared" si="32"/>
        <v>-379.26</v>
      </c>
      <c r="G496" s="2">
        <f t="shared" si="33"/>
        <v>2026</v>
      </c>
      <c r="H496" s="2">
        <f t="shared" si="34"/>
        <v>5</v>
      </c>
      <c r="I496" s="2">
        <f t="shared" si="31"/>
        <v>2</v>
      </c>
    </row>
    <row r="497" spans="1:9" x14ac:dyDescent="0.25">
      <c r="A497" s="13" t="s">
        <v>96</v>
      </c>
      <c r="B497" s="2" t="s">
        <v>14</v>
      </c>
      <c r="C497" s="19" t="s">
        <v>13</v>
      </c>
      <c r="D497" s="16"/>
      <c r="E497" s="15">
        <v>4182.88</v>
      </c>
      <c r="F497" s="3">
        <f t="shared" si="32"/>
        <v>-4182.88</v>
      </c>
      <c r="G497" s="2">
        <f t="shared" si="33"/>
        <v>2026</v>
      </c>
      <c r="H497" s="2">
        <f t="shared" si="34"/>
        <v>5</v>
      </c>
      <c r="I497" s="2">
        <f t="shared" si="31"/>
        <v>2</v>
      </c>
    </row>
    <row r="498" spans="1:9" x14ac:dyDescent="0.25">
      <c r="A498" s="13" t="s">
        <v>96</v>
      </c>
      <c r="B498" s="2" t="s">
        <v>14</v>
      </c>
      <c r="C498" s="19" t="s">
        <v>13</v>
      </c>
      <c r="D498" s="16"/>
      <c r="E498" s="15">
        <v>1500</v>
      </c>
      <c r="F498" s="3">
        <f t="shared" si="32"/>
        <v>-1500</v>
      </c>
      <c r="G498" s="2">
        <f t="shared" si="33"/>
        <v>2026</v>
      </c>
      <c r="H498" s="2">
        <f t="shared" si="34"/>
        <v>5</v>
      </c>
      <c r="I498" s="2">
        <f t="shared" si="31"/>
        <v>2</v>
      </c>
    </row>
    <row r="499" spans="1:9" x14ac:dyDescent="0.25">
      <c r="A499" s="13" t="s">
        <v>96</v>
      </c>
      <c r="B499" s="2" t="s">
        <v>14</v>
      </c>
      <c r="C499" s="19" t="s">
        <v>18</v>
      </c>
      <c r="D499" s="16"/>
      <c r="E499" s="15">
        <v>2577.69</v>
      </c>
      <c r="F499" s="3">
        <f t="shared" si="32"/>
        <v>-2577.69</v>
      </c>
      <c r="G499" s="2">
        <f t="shared" si="33"/>
        <v>2026</v>
      </c>
      <c r="H499" s="2">
        <f t="shared" si="34"/>
        <v>5</v>
      </c>
      <c r="I499" s="2">
        <f t="shared" si="31"/>
        <v>2</v>
      </c>
    </row>
    <row r="500" spans="1:9" x14ac:dyDescent="0.25">
      <c r="A500" s="13" t="s">
        <v>97</v>
      </c>
      <c r="B500" s="2" t="s">
        <v>10</v>
      </c>
      <c r="C500" s="19" t="s">
        <v>13</v>
      </c>
      <c r="D500" s="15">
        <v>400000</v>
      </c>
      <c r="E500" s="16"/>
      <c r="F500" s="3">
        <f t="shared" si="32"/>
        <v>400000</v>
      </c>
      <c r="G500" s="2">
        <f t="shared" si="33"/>
        <v>2026</v>
      </c>
      <c r="H500" s="2">
        <f t="shared" si="34"/>
        <v>5</v>
      </c>
      <c r="I500" s="2">
        <f t="shared" si="31"/>
        <v>2</v>
      </c>
    </row>
    <row r="501" spans="1:9" x14ac:dyDescent="0.25">
      <c r="A501" s="13" t="s">
        <v>97</v>
      </c>
      <c r="B501" s="2" t="s">
        <v>10</v>
      </c>
      <c r="C501" s="23" t="s">
        <v>11</v>
      </c>
      <c r="D501" s="15">
        <v>10000</v>
      </c>
      <c r="E501" s="16"/>
      <c r="F501" s="3">
        <f t="shared" si="32"/>
        <v>10000</v>
      </c>
      <c r="G501" s="2">
        <f t="shared" si="33"/>
        <v>2026</v>
      </c>
      <c r="H501" s="2">
        <f t="shared" si="34"/>
        <v>5</v>
      </c>
      <c r="I501" s="2">
        <f t="shared" si="31"/>
        <v>2</v>
      </c>
    </row>
    <row r="502" spans="1:9" x14ac:dyDescent="0.25">
      <c r="A502" s="13" t="s">
        <v>97</v>
      </c>
      <c r="B502" s="2" t="s">
        <v>10</v>
      </c>
      <c r="C502" s="23" t="s">
        <v>11</v>
      </c>
      <c r="D502" s="15">
        <v>17640</v>
      </c>
      <c r="E502" s="16"/>
      <c r="F502" s="3">
        <f t="shared" si="32"/>
        <v>17640</v>
      </c>
      <c r="G502" s="2">
        <f t="shared" si="33"/>
        <v>2026</v>
      </c>
      <c r="H502" s="2">
        <f t="shared" si="34"/>
        <v>5</v>
      </c>
      <c r="I502" s="2">
        <f t="shared" si="31"/>
        <v>2</v>
      </c>
    </row>
    <row r="503" spans="1:9" x14ac:dyDescent="0.25">
      <c r="A503" s="13" t="s">
        <v>97</v>
      </c>
      <c r="B503" s="2" t="s">
        <v>10</v>
      </c>
      <c r="C503" s="19" t="s">
        <v>13</v>
      </c>
      <c r="D503" s="15">
        <v>1500</v>
      </c>
      <c r="E503" s="16"/>
      <c r="F503" s="3">
        <f t="shared" si="32"/>
        <v>1500</v>
      </c>
      <c r="G503" s="2">
        <f t="shared" si="33"/>
        <v>2026</v>
      </c>
      <c r="H503" s="2">
        <f t="shared" si="34"/>
        <v>5</v>
      </c>
      <c r="I503" s="2">
        <f t="shared" si="31"/>
        <v>2</v>
      </c>
    </row>
    <row r="504" spans="1:9" x14ac:dyDescent="0.25">
      <c r="A504" s="13" t="s">
        <v>97</v>
      </c>
      <c r="B504" s="2" t="s">
        <v>10</v>
      </c>
      <c r="C504" s="19" t="s">
        <v>13</v>
      </c>
      <c r="D504" s="15">
        <v>2646</v>
      </c>
      <c r="E504" s="16"/>
      <c r="F504" s="3">
        <f t="shared" si="32"/>
        <v>2646</v>
      </c>
      <c r="G504" s="2">
        <f t="shared" si="33"/>
        <v>2026</v>
      </c>
      <c r="H504" s="2">
        <f t="shared" si="34"/>
        <v>5</v>
      </c>
      <c r="I504" s="2">
        <f t="shared" si="31"/>
        <v>2</v>
      </c>
    </row>
    <row r="505" spans="1:9" x14ac:dyDescent="0.25">
      <c r="A505" s="13" t="s">
        <v>97</v>
      </c>
      <c r="B505" s="2" t="s">
        <v>10</v>
      </c>
      <c r="C505" s="23" t="s">
        <v>12</v>
      </c>
      <c r="D505" s="15">
        <v>13836.18</v>
      </c>
      <c r="E505" s="16"/>
      <c r="F505" s="3">
        <f t="shared" si="32"/>
        <v>13836.18</v>
      </c>
      <c r="G505" s="2">
        <f t="shared" si="33"/>
        <v>2026</v>
      </c>
      <c r="H505" s="2">
        <f t="shared" si="34"/>
        <v>5</v>
      </c>
      <c r="I505" s="2">
        <f t="shared" si="31"/>
        <v>2</v>
      </c>
    </row>
    <row r="506" spans="1:9" x14ac:dyDescent="0.25">
      <c r="A506" s="13" t="s">
        <v>97</v>
      </c>
      <c r="B506" s="2" t="s">
        <v>14</v>
      </c>
      <c r="C506" s="19" t="s">
        <v>25</v>
      </c>
      <c r="D506" s="16"/>
      <c r="E506" s="17">
        <v>414</v>
      </c>
      <c r="F506" s="3">
        <f t="shared" si="32"/>
        <v>-414</v>
      </c>
      <c r="G506" s="2">
        <f t="shared" si="33"/>
        <v>2026</v>
      </c>
      <c r="H506" s="2">
        <f t="shared" si="34"/>
        <v>5</v>
      </c>
      <c r="I506" s="2">
        <f t="shared" si="31"/>
        <v>2</v>
      </c>
    </row>
    <row r="507" spans="1:9" x14ac:dyDescent="0.25">
      <c r="A507" s="13" t="s">
        <v>97</v>
      </c>
      <c r="B507" s="2" t="s">
        <v>14</v>
      </c>
      <c r="C507" s="19" t="s">
        <v>25</v>
      </c>
      <c r="D507" s="16"/>
      <c r="E507" s="15">
        <v>62100</v>
      </c>
      <c r="F507" s="3">
        <f t="shared" si="32"/>
        <v>-62100</v>
      </c>
      <c r="G507" s="2">
        <f t="shared" si="33"/>
        <v>2026</v>
      </c>
      <c r="H507" s="2">
        <f t="shared" si="34"/>
        <v>5</v>
      </c>
      <c r="I507" s="2">
        <f t="shared" si="31"/>
        <v>2</v>
      </c>
    </row>
    <row r="508" spans="1:9" x14ac:dyDescent="0.25">
      <c r="A508" s="13" t="s">
        <v>97</v>
      </c>
      <c r="B508" s="2" t="s">
        <v>14</v>
      </c>
      <c r="C508" s="19" t="s">
        <v>25</v>
      </c>
      <c r="D508" s="16"/>
      <c r="E508" s="15">
        <v>13454</v>
      </c>
      <c r="F508" s="3">
        <f t="shared" si="32"/>
        <v>-13454</v>
      </c>
      <c r="G508" s="2">
        <f t="shared" si="33"/>
        <v>2026</v>
      </c>
      <c r="H508" s="2">
        <f t="shared" si="34"/>
        <v>5</v>
      </c>
      <c r="I508" s="2">
        <f t="shared" si="31"/>
        <v>2</v>
      </c>
    </row>
    <row r="509" spans="1:9" x14ac:dyDescent="0.25">
      <c r="A509" s="13" t="s">
        <v>97</v>
      </c>
      <c r="B509" s="2" t="s">
        <v>14</v>
      </c>
      <c r="C509" s="23" t="s">
        <v>21</v>
      </c>
      <c r="D509" s="16"/>
      <c r="E509" s="15">
        <v>42188.5</v>
      </c>
      <c r="F509" s="3">
        <f t="shared" si="32"/>
        <v>-42188.5</v>
      </c>
      <c r="G509" s="2">
        <f t="shared" si="33"/>
        <v>2026</v>
      </c>
      <c r="H509" s="2">
        <f t="shared" si="34"/>
        <v>5</v>
      </c>
      <c r="I509" s="2">
        <f t="shared" si="31"/>
        <v>2</v>
      </c>
    </row>
    <row r="510" spans="1:9" x14ac:dyDescent="0.25">
      <c r="A510" s="13" t="s">
        <v>97</v>
      </c>
      <c r="B510" s="2" t="s">
        <v>14</v>
      </c>
      <c r="C510" s="23" t="s">
        <v>20</v>
      </c>
      <c r="D510" s="16"/>
      <c r="E510" s="15">
        <v>145135</v>
      </c>
      <c r="F510" s="3">
        <f t="shared" si="32"/>
        <v>-145135</v>
      </c>
      <c r="G510" s="2">
        <f t="shared" si="33"/>
        <v>2026</v>
      </c>
      <c r="H510" s="2">
        <f t="shared" si="34"/>
        <v>5</v>
      </c>
      <c r="I510" s="2">
        <f t="shared" si="31"/>
        <v>2</v>
      </c>
    </row>
    <row r="511" spans="1:9" x14ac:dyDescent="0.25">
      <c r="A511" s="13" t="s">
        <v>97</v>
      </c>
      <c r="B511" s="2" t="s">
        <v>14</v>
      </c>
      <c r="C511" s="21" t="s">
        <v>102</v>
      </c>
      <c r="D511" s="16"/>
      <c r="E511" s="15">
        <v>71660</v>
      </c>
      <c r="F511" s="3">
        <f t="shared" si="32"/>
        <v>-71660</v>
      </c>
      <c r="G511" s="2">
        <f t="shared" si="33"/>
        <v>2026</v>
      </c>
      <c r="H511" s="2">
        <f t="shared" si="34"/>
        <v>5</v>
      </c>
      <c r="I511" s="2">
        <f t="shared" si="31"/>
        <v>2</v>
      </c>
    </row>
    <row r="512" spans="1:9" x14ac:dyDescent="0.25">
      <c r="A512" s="13" t="s">
        <v>97</v>
      </c>
      <c r="B512" s="2" t="s">
        <v>14</v>
      </c>
      <c r="C512" s="19" t="s">
        <v>13</v>
      </c>
      <c r="D512" s="16"/>
      <c r="E512" s="15">
        <v>1500</v>
      </c>
      <c r="F512" s="3">
        <f t="shared" si="32"/>
        <v>-1500</v>
      </c>
      <c r="G512" s="2">
        <f t="shared" si="33"/>
        <v>2026</v>
      </c>
      <c r="H512" s="2">
        <f t="shared" si="34"/>
        <v>5</v>
      </c>
      <c r="I512" s="2">
        <f t="shared" si="31"/>
        <v>2</v>
      </c>
    </row>
    <row r="513" spans="1:9" x14ac:dyDescent="0.25">
      <c r="A513" s="13" t="s">
        <v>97</v>
      </c>
      <c r="B513" s="2" t="s">
        <v>14</v>
      </c>
      <c r="C513" s="19" t="s">
        <v>13</v>
      </c>
      <c r="D513" s="16"/>
      <c r="E513" s="15">
        <v>2646</v>
      </c>
      <c r="F513" s="3">
        <f t="shared" si="32"/>
        <v>-2646</v>
      </c>
      <c r="G513" s="2">
        <f t="shared" si="33"/>
        <v>2026</v>
      </c>
      <c r="H513" s="2">
        <f t="shared" si="34"/>
        <v>5</v>
      </c>
      <c r="I513" s="2">
        <f t="shared" si="31"/>
        <v>2</v>
      </c>
    </row>
    <row r="514" spans="1:9" x14ac:dyDescent="0.25">
      <c r="A514" s="13" t="s">
        <v>97</v>
      </c>
      <c r="B514" s="2" t="s">
        <v>14</v>
      </c>
      <c r="C514" s="23" t="s">
        <v>107</v>
      </c>
      <c r="D514" s="16"/>
      <c r="E514" s="15">
        <v>110500</v>
      </c>
      <c r="F514" s="3">
        <f t="shared" si="32"/>
        <v>-110500</v>
      </c>
      <c r="G514" s="2">
        <f t="shared" si="33"/>
        <v>2026</v>
      </c>
      <c r="H514" s="2">
        <f t="shared" si="34"/>
        <v>5</v>
      </c>
      <c r="I514" s="2">
        <f t="shared" si="31"/>
        <v>2</v>
      </c>
    </row>
    <row r="515" spans="1:9" x14ac:dyDescent="0.25">
      <c r="A515" s="13" t="s">
        <v>97</v>
      </c>
      <c r="B515" s="2" t="s">
        <v>14</v>
      </c>
      <c r="C515" s="23" t="s">
        <v>23</v>
      </c>
      <c r="D515" s="16"/>
      <c r="E515" s="15">
        <v>720000</v>
      </c>
      <c r="F515" s="3">
        <f t="shared" si="32"/>
        <v>-720000</v>
      </c>
      <c r="G515" s="2">
        <f t="shared" si="33"/>
        <v>2026</v>
      </c>
      <c r="H515" s="2">
        <f t="shared" si="34"/>
        <v>5</v>
      </c>
      <c r="I515" s="2">
        <f t="shared" si="31"/>
        <v>2</v>
      </c>
    </row>
    <row r="516" spans="1:9" x14ac:dyDescent="0.25">
      <c r="A516" s="13" t="s">
        <v>97</v>
      </c>
      <c r="B516" s="2" t="s">
        <v>14</v>
      </c>
      <c r="C516" s="19" t="s">
        <v>13</v>
      </c>
      <c r="D516" s="16"/>
      <c r="E516" s="15">
        <v>400000</v>
      </c>
      <c r="F516" s="3">
        <f t="shared" si="32"/>
        <v>-400000</v>
      </c>
      <c r="G516" s="2">
        <f t="shared" si="33"/>
        <v>2026</v>
      </c>
      <c r="H516" s="2">
        <f t="shared" si="34"/>
        <v>5</v>
      </c>
      <c r="I516" s="2">
        <f t="shared" ref="I516:I521" si="35">ROUNDUP(H516/3,0)</f>
        <v>2</v>
      </c>
    </row>
    <row r="517" spans="1:9" x14ac:dyDescent="0.25">
      <c r="A517" s="13" t="s">
        <v>97</v>
      </c>
      <c r="B517" s="2" t="s">
        <v>14</v>
      </c>
      <c r="C517" s="19" t="s">
        <v>30</v>
      </c>
      <c r="D517" s="16"/>
      <c r="E517" s="15">
        <v>90046</v>
      </c>
      <c r="F517" s="3">
        <f t="shared" ref="F517:F521" si="36">D517-E517</f>
        <v>-90046</v>
      </c>
      <c r="G517" s="2">
        <f t="shared" ref="G517:G521" si="37">YEAR(A517)</f>
        <v>2026</v>
      </c>
      <c r="H517" s="2">
        <f t="shared" ref="H517:H521" si="38">MONTH(A517)</f>
        <v>5</v>
      </c>
      <c r="I517" s="2">
        <f t="shared" si="35"/>
        <v>2</v>
      </c>
    </row>
    <row r="518" spans="1:9" x14ac:dyDescent="0.25">
      <c r="A518" s="13" t="s">
        <v>97</v>
      </c>
      <c r="B518" s="2" t="s">
        <v>14</v>
      </c>
      <c r="C518" s="23" t="s">
        <v>23</v>
      </c>
      <c r="D518" s="16"/>
      <c r="E518" s="15">
        <v>4000000</v>
      </c>
      <c r="F518" s="3">
        <f t="shared" si="36"/>
        <v>-4000000</v>
      </c>
      <c r="G518" s="2">
        <f t="shared" si="37"/>
        <v>2026</v>
      </c>
      <c r="H518" s="2">
        <f t="shared" si="38"/>
        <v>5</v>
      </c>
      <c r="I518" s="2">
        <f t="shared" si="35"/>
        <v>2</v>
      </c>
    </row>
    <row r="519" spans="1:9" x14ac:dyDescent="0.25">
      <c r="A519" s="13" t="s">
        <v>98</v>
      </c>
      <c r="B519" s="2" t="s">
        <v>14</v>
      </c>
      <c r="C519" s="19" t="s">
        <v>18</v>
      </c>
      <c r="D519" s="16"/>
      <c r="E519" s="15">
        <v>1863</v>
      </c>
      <c r="F519" s="3">
        <f t="shared" si="36"/>
        <v>-1863</v>
      </c>
      <c r="G519" s="2">
        <f t="shared" si="37"/>
        <v>2026</v>
      </c>
      <c r="H519" s="2">
        <f t="shared" si="38"/>
        <v>5</v>
      </c>
      <c r="I519" s="2">
        <f t="shared" si="35"/>
        <v>2</v>
      </c>
    </row>
    <row r="520" spans="1:9" x14ac:dyDescent="0.25">
      <c r="A520" s="13" t="s">
        <v>99</v>
      </c>
      <c r="B520" s="2" t="s">
        <v>10</v>
      </c>
      <c r="C520" s="23" t="s">
        <v>11</v>
      </c>
      <c r="D520" s="15">
        <v>20638.75</v>
      </c>
      <c r="E520" s="16"/>
      <c r="F520" s="3">
        <f t="shared" si="36"/>
        <v>20638.75</v>
      </c>
      <c r="G520" s="2">
        <f t="shared" si="37"/>
        <v>2026</v>
      </c>
      <c r="H520" s="2">
        <f t="shared" si="38"/>
        <v>5</v>
      </c>
      <c r="I520" s="2">
        <f t="shared" si="35"/>
        <v>2</v>
      </c>
    </row>
    <row r="521" spans="1:9" x14ac:dyDescent="0.25">
      <c r="A521" s="13" t="s">
        <v>99</v>
      </c>
      <c r="B521" s="2" t="s">
        <v>14</v>
      </c>
      <c r="C521" s="19" t="s">
        <v>18</v>
      </c>
      <c r="D521" s="16"/>
      <c r="E521" s="15">
        <v>2685</v>
      </c>
      <c r="F521" s="3">
        <f t="shared" si="36"/>
        <v>-2685</v>
      </c>
      <c r="G521" s="2">
        <f t="shared" si="37"/>
        <v>2026</v>
      </c>
      <c r="H521" s="2">
        <f t="shared" si="38"/>
        <v>5</v>
      </c>
      <c r="I521" s="2">
        <f t="shared" si="35"/>
        <v>2</v>
      </c>
    </row>
    <row r="522" spans="1:9" x14ac:dyDescent="0.25">
      <c r="A522" s="29" t="s">
        <v>108</v>
      </c>
      <c r="B522" s="29" t="s">
        <v>10</v>
      </c>
      <c r="C522" s="29" t="s">
        <v>22</v>
      </c>
      <c r="D522" s="30">
        <v>4532.6000000000004</v>
      </c>
      <c r="E522" s="29">
        <v>0</v>
      </c>
      <c r="F522" s="28">
        <f t="shared" ref="F522:F585" si="39">D522-E522</f>
        <v>4532.6000000000004</v>
      </c>
      <c r="G522">
        <f t="shared" ref="G522:G585" si="40">YEAR(A522)</f>
        <v>2026</v>
      </c>
      <c r="H522">
        <f t="shared" ref="H522:H585" si="41">MONTH(A522)</f>
        <v>5</v>
      </c>
      <c r="I522">
        <f t="shared" ref="I522:I585" si="42">ROUNDUP(H522/3,0)</f>
        <v>2</v>
      </c>
    </row>
    <row r="523" spans="1:9" x14ac:dyDescent="0.25">
      <c r="A523" s="29" t="s">
        <v>108</v>
      </c>
      <c r="B523" s="29" t="s">
        <v>10</v>
      </c>
      <c r="C523" s="29" t="s">
        <v>12</v>
      </c>
      <c r="D523" s="30">
        <v>5742.02</v>
      </c>
      <c r="E523" s="29">
        <v>0</v>
      </c>
      <c r="F523" s="28">
        <f t="shared" si="39"/>
        <v>5742.02</v>
      </c>
      <c r="G523">
        <f t="shared" si="40"/>
        <v>2026</v>
      </c>
      <c r="H523">
        <f t="shared" si="41"/>
        <v>5</v>
      </c>
      <c r="I523">
        <f t="shared" si="42"/>
        <v>2</v>
      </c>
    </row>
    <row r="524" spans="1:9" x14ac:dyDescent="0.25">
      <c r="A524" s="29" t="s">
        <v>108</v>
      </c>
      <c r="B524" s="29" t="s">
        <v>10</v>
      </c>
      <c r="C524" s="29" t="s">
        <v>23</v>
      </c>
      <c r="D524" s="30">
        <v>4000000</v>
      </c>
      <c r="E524" s="29">
        <v>0</v>
      </c>
      <c r="F524" s="28">
        <f t="shared" si="39"/>
        <v>4000000</v>
      </c>
      <c r="G524">
        <f t="shared" si="40"/>
        <v>2026</v>
      </c>
      <c r="H524">
        <f t="shared" si="41"/>
        <v>5</v>
      </c>
      <c r="I524">
        <f t="shared" si="42"/>
        <v>2</v>
      </c>
    </row>
    <row r="525" spans="1:9" x14ac:dyDescent="0.25">
      <c r="A525" s="29" t="s">
        <v>108</v>
      </c>
      <c r="B525" s="29" t="s">
        <v>10</v>
      </c>
      <c r="C525" s="29" t="s">
        <v>22</v>
      </c>
      <c r="D525" s="30">
        <v>765.37</v>
      </c>
      <c r="E525" s="29">
        <v>0</v>
      </c>
      <c r="F525" s="28">
        <f t="shared" si="39"/>
        <v>765.37</v>
      </c>
      <c r="G525">
        <f t="shared" si="40"/>
        <v>2026</v>
      </c>
      <c r="H525">
        <f t="shared" si="41"/>
        <v>5</v>
      </c>
      <c r="I525">
        <f t="shared" si="42"/>
        <v>2</v>
      </c>
    </row>
    <row r="526" spans="1:9" x14ac:dyDescent="0.25">
      <c r="A526" s="29" t="s">
        <v>108</v>
      </c>
      <c r="B526" s="29" t="s">
        <v>10</v>
      </c>
      <c r="C526" s="29" t="s">
        <v>39</v>
      </c>
      <c r="D526" s="30">
        <v>68000</v>
      </c>
      <c r="E526" s="29">
        <v>0</v>
      </c>
      <c r="F526" s="28">
        <f t="shared" si="39"/>
        <v>68000</v>
      </c>
      <c r="G526">
        <f t="shared" si="40"/>
        <v>2026</v>
      </c>
      <c r="H526">
        <f t="shared" si="41"/>
        <v>5</v>
      </c>
      <c r="I526">
        <f t="shared" si="42"/>
        <v>2</v>
      </c>
    </row>
    <row r="527" spans="1:9" x14ac:dyDescent="0.25">
      <c r="A527" s="29" t="s">
        <v>108</v>
      </c>
      <c r="B527" s="29" t="s">
        <v>10</v>
      </c>
      <c r="C527" s="29" t="s">
        <v>23</v>
      </c>
      <c r="D527" s="30">
        <v>720000</v>
      </c>
      <c r="E527" s="29">
        <v>0</v>
      </c>
      <c r="F527" s="28">
        <f t="shared" si="39"/>
        <v>720000</v>
      </c>
      <c r="G527">
        <f t="shared" si="40"/>
        <v>2026</v>
      </c>
      <c r="H527">
        <f t="shared" si="41"/>
        <v>5</v>
      </c>
      <c r="I527">
        <f t="shared" si="42"/>
        <v>2</v>
      </c>
    </row>
    <row r="528" spans="1:9" x14ac:dyDescent="0.25">
      <c r="A528" s="29" t="s">
        <v>108</v>
      </c>
      <c r="B528" s="29" t="s">
        <v>10</v>
      </c>
      <c r="C528" s="29" t="s">
        <v>11</v>
      </c>
      <c r="D528" s="30">
        <v>243960</v>
      </c>
      <c r="E528" s="29">
        <v>0</v>
      </c>
      <c r="F528" s="28">
        <f t="shared" si="39"/>
        <v>243960</v>
      </c>
      <c r="G528">
        <f t="shared" si="40"/>
        <v>2026</v>
      </c>
      <c r="H528">
        <f t="shared" si="41"/>
        <v>5</v>
      </c>
      <c r="I528">
        <f t="shared" si="42"/>
        <v>2</v>
      </c>
    </row>
    <row r="529" spans="1:9" x14ac:dyDescent="0.25">
      <c r="A529" s="29" t="s">
        <v>108</v>
      </c>
      <c r="B529" s="29" t="s">
        <v>10</v>
      </c>
      <c r="C529" s="29" t="s">
        <v>11</v>
      </c>
      <c r="D529" s="30">
        <v>47000</v>
      </c>
      <c r="E529" s="29">
        <v>0</v>
      </c>
      <c r="F529" s="28">
        <f t="shared" si="39"/>
        <v>47000</v>
      </c>
      <c r="G529">
        <f t="shared" si="40"/>
        <v>2026</v>
      </c>
      <c r="H529">
        <f t="shared" si="41"/>
        <v>5</v>
      </c>
      <c r="I529">
        <f t="shared" si="42"/>
        <v>2</v>
      </c>
    </row>
    <row r="530" spans="1:9" x14ac:dyDescent="0.25">
      <c r="A530" s="29" t="s">
        <v>108</v>
      </c>
      <c r="B530" s="29" t="s">
        <v>10</v>
      </c>
      <c r="C530" s="29" t="s">
        <v>11</v>
      </c>
      <c r="D530" s="30">
        <v>5500</v>
      </c>
      <c r="E530" s="29">
        <v>0</v>
      </c>
      <c r="F530" s="28">
        <f t="shared" si="39"/>
        <v>5500</v>
      </c>
      <c r="G530">
        <f t="shared" si="40"/>
        <v>2026</v>
      </c>
      <c r="H530">
        <f t="shared" si="41"/>
        <v>5</v>
      </c>
      <c r="I530">
        <f t="shared" si="42"/>
        <v>2</v>
      </c>
    </row>
    <row r="531" spans="1:9" x14ac:dyDescent="0.25">
      <c r="A531" s="29" t="s">
        <v>108</v>
      </c>
      <c r="B531" s="29" t="s">
        <v>10</v>
      </c>
      <c r="C531" s="29" t="s">
        <v>11</v>
      </c>
      <c r="D531" s="30">
        <v>1178</v>
      </c>
      <c r="E531" s="29">
        <v>0</v>
      </c>
      <c r="F531" s="28">
        <f t="shared" si="39"/>
        <v>1178</v>
      </c>
      <c r="G531">
        <f t="shared" si="40"/>
        <v>2026</v>
      </c>
      <c r="H531">
        <f t="shared" si="41"/>
        <v>5</v>
      </c>
      <c r="I531">
        <f t="shared" si="42"/>
        <v>2</v>
      </c>
    </row>
    <row r="532" spans="1:9" x14ac:dyDescent="0.25">
      <c r="A532" s="29" t="s">
        <v>108</v>
      </c>
      <c r="B532" s="29" t="s">
        <v>10</v>
      </c>
      <c r="C532" s="29" t="s">
        <v>11</v>
      </c>
      <c r="D532" s="30">
        <v>10000</v>
      </c>
      <c r="E532" s="29">
        <v>0</v>
      </c>
      <c r="F532" s="28">
        <f t="shared" si="39"/>
        <v>10000</v>
      </c>
      <c r="G532">
        <f t="shared" si="40"/>
        <v>2026</v>
      </c>
      <c r="H532">
        <f t="shared" si="41"/>
        <v>5</v>
      </c>
      <c r="I532">
        <f t="shared" si="42"/>
        <v>2</v>
      </c>
    </row>
    <row r="533" spans="1:9" x14ac:dyDescent="0.25">
      <c r="A533" s="29" t="s">
        <v>108</v>
      </c>
      <c r="B533" s="29" t="s">
        <v>10</v>
      </c>
      <c r="C533" s="29" t="s">
        <v>13</v>
      </c>
      <c r="D533" s="30">
        <v>114.8</v>
      </c>
      <c r="E533" s="29">
        <v>0</v>
      </c>
      <c r="F533" s="28">
        <f t="shared" si="39"/>
        <v>114.8</v>
      </c>
      <c r="G533">
        <f t="shared" si="40"/>
        <v>2026</v>
      </c>
      <c r="H533">
        <f t="shared" si="41"/>
        <v>5</v>
      </c>
      <c r="I533">
        <f t="shared" si="42"/>
        <v>2</v>
      </c>
    </row>
    <row r="534" spans="1:9" x14ac:dyDescent="0.25">
      <c r="A534" s="29" t="s">
        <v>108</v>
      </c>
      <c r="B534" s="29" t="s">
        <v>10</v>
      </c>
      <c r="C534" s="29" t="s">
        <v>13</v>
      </c>
      <c r="D534" s="30">
        <v>36594</v>
      </c>
      <c r="E534" s="29">
        <v>0</v>
      </c>
      <c r="F534" s="28">
        <f t="shared" si="39"/>
        <v>36594</v>
      </c>
      <c r="G534">
        <f t="shared" si="40"/>
        <v>2026</v>
      </c>
      <c r="H534">
        <f t="shared" si="41"/>
        <v>5</v>
      </c>
      <c r="I534">
        <f t="shared" si="42"/>
        <v>2</v>
      </c>
    </row>
    <row r="535" spans="1:9" x14ac:dyDescent="0.25">
      <c r="A535" s="29" t="s">
        <v>108</v>
      </c>
      <c r="B535" s="29" t="s">
        <v>10</v>
      </c>
      <c r="C535" s="29" t="s">
        <v>13</v>
      </c>
      <c r="D535" s="30">
        <v>7050</v>
      </c>
      <c r="E535" s="29">
        <v>0</v>
      </c>
      <c r="F535" s="28">
        <f t="shared" si="39"/>
        <v>7050</v>
      </c>
      <c r="G535">
        <f t="shared" si="40"/>
        <v>2026</v>
      </c>
      <c r="H535">
        <f t="shared" si="41"/>
        <v>5</v>
      </c>
      <c r="I535">
        <f t="shared" si="42"/>
        <v>2</v>
      </c>
    </row>
    <row r="536" spans="1:9" x14ac:dyDescent="0.25">
      <c r="A536" s="29" t="s">
        <v>108</v>
      </c>
      <c r="B536" s="29" t="s">
        <v>10</v>
      </c>
      <c r="C536" s="29" t="s">
        <v>13</v>
      </c>
      <c r="D536" s="30">
        <v>825</v>
      </c>
      <c r="E536" s="29">
        <v>0</v>
      </c>
      <c r="F536" s="28">
        <f t="shared" si="39"/>
        <v>825</v>
      </c>
      <c r="G536">
        <f t="shared" si="40"/>
        <v>2026</v>
      </c>
      <c r="H536">
        <f t="shared" si="41"/>
        <v>5</v>
      </c>
      <c r="I536">
        <f t="shared" si="42"/>
        <v>2</v>
      </c>
    </row>
    <row r="537" spans="1:9" x14ac:dyDescent="0.25">
      <c r="A537" s="29" t="s">
        <v>108</v>
      </c>
      <c r="B537" s="29" t="s">
        <v>10</v>
      </c>
      <c r="C537" s="29" t="s">
        <v>13</v>
      </c>
      <c r="D537" s="30">
        <v>176.7</v>
      </c>
      <c r="E537" s="29">
        <v>0</v>
      </c>
      <c r="F537" s="28">
        <f t="shared" si="39"/>
        <v>176.7</v>
      </c>
      <c r="G537">
        <f t="shared" si="40"/>
        <v>2026</v>
      </c>
      <c r="H537">
        <f t="shared" si="41"/>
        <v>5</v>
      </c>
      <c r="I537">
        <f t="shared" si="42"/>
        <v>2</v>
      </c>
    </row>
    <row r="538" spans="1:9" x14ac:dyDescent="0.25">
      <c r="A538" s="29" t="s">
        <v>108</v>
      </c>
      <c r="B538" s="29" t="s">
        <v>10</v>
      </c>
      <c r="C538" s="29" t="s">
        <v>13</v>
      </c>
      <c r="D538" s="30">
        <v>1500</v>
      </c>
      <c r="E538" s="29">
        <v>0</v>
      </c>
      <c r="F538" s="28">
        <f t="shared" si="39"/>
        <v>1500</v>
      </c>
      <c r="G538">
        <f t="shared" si="40"/>
        <v>2026</v>
      </c>
      <c r="H538">
        <f t="shared" si="41"/>
        <v>5</v>
      </c>
      <c r="I538">
        <f t="shared" si="42"/>
        <v>2</v>
      </c>
    </row>
    <row r="539" spans="1:9" x14ac:dyDescent="0.25">
      <c r="A539" s="29" t="s">
        <v>108</v>
      </c>
      <c r="B539" s="29" t="s">
        <v>14</v>
      </c>
      <c r="C539" s="29" t="s">
        <v>18</v>
      </c>
      <c r="D539" s="30">
        <v>0</v>
      </c>
      <c r="E539" s="29">
        <v>1277</v>
      </c>
      <c r="F539" s="28">
        <f t="shared" si="39"/>
        <v>-1277</v>
      </c>
      <c r="G539">
        <f t="shared" si="40"/>
        <v>2026</v>
      </c>
      <c r="H539">
        <f t="shared" si="41"/>
        <v>5</v>
      </c>
      <c r="I539">
        <f t="shared" si="42"/>
        <v>2</v>
      </c>
    </row>
    <row r="540" spans="1:9" x14ac:dyDescent="0.25">
      <c r="A540" s="29" t="s">
        <v>108</v>
      </c>
      <c r="B540" s="29" t="s">
        <v>14</v>
      </c>
      <c r="C540" s="29" t="s">
        <v>13</v>
      </c>
      <c r="D540" s="30">
        <v>0</v>
      </c>
      <c r="E540" s="29">
        <v>114.8</v>
      </c>
      <c r="F540" s="28">
        <f t="shared" si="39"/>
        <v>-114.8</v>
      </c>
      <c r="G540">
        <f t="shared" si="40"/>
        <v>2026</v>
      </c>
      <c r="H540">
        <f t="shared" si="41"/>
        <v>5</v>
      </c>
      <c r="I540">
        <f t="shared" si="42"/>
        <v>2</v>
      </c>
    </row>
    <row r="541" spans="1:9" x14ac:dyDescent="0.25">
      <c r="A541" s="29" t="s">
        <v>108</v>
      </c>
      <c r="B541" s="29" t="s">
        <v>14</v>
      </c>
      <c r="C541" s="29" t="s">
        <v>13</v>
      </c>
      <c r="D541" s="30">
        <v>0</v>
      </c>
      <c r="E541" s="29">
        <v>36594</v>
      </c>
      <c r="F541" s="28">
        <f t="shared" si="39"/>
        <v>-36594</v>
      </c>
      <c r="G541">
        <f t="shared" si="40"/>
        <v>2026</v>
      </c>
      <c r="H541">
        <f t="shared" si="41"/>
        <v>5</v>
      </c>
      <c r="I541">
        <f t="shared" si="42"/>
        <v>2</v>
      </c>
    </row>
    <row r="542" spans="1:9" x14ac:dyDescent="0.25">
      <c r="A542" s="29" t="s">
        <v>108</v>
      </c>
      <c r="B542" s="29" t="s">
        <v>14</v>
      </c>
      <c r="C542" s="29" t="s">
        <v>13</v>
      </c>
      <c r="D542" s="30">
        <v>0</v>
      </c>
      <c r="E542" s="29">
        <v>7050</v>
      </c>
      <c r="F542" s="28">
        <f t="shared" si="39"/>
        <v>-7050</v>
      </c>
      <c r="G542">
        <f t="shared" si="40"/>
        <v>2026</v>
      </c>
      <c r="H542">
        <f t="shared" si="41"/>
        <v>5</v>
      </c>
      <c r="I542">
        <f t="shared" si="42"/>
        <v>2</v>
      </c>
    </row>
    <row r="543" spans="1:9" x14ac:dyDescent="0.25">
      <c r="A543" s="29" t="s">
        <v>108</v>
      </c>
      <c r="B543" s="29" t="s">
        <v>14</v>
      </c>
      <c r="C543" s="29" t="s">
        <v>16</v>
      </c>
      <c r="D543" s="30">
        <v>0</v>
      </c>
      <c r="E543" s="29">
        <v>787.63</v>
      </c>
      <c r="F543" s="28">
        <f t="shared" si="39"/>
        <v>-787.63</v>
      </c>
      <c r="G543">
        <f t="shared" si="40"/>
        <v>2026</v>
      </c>
      <c r="H543">
        <f t="shared" si="41"/>
        <v>5</v>
      </c>
      <c r="I543">
        <f t="shared" si="42"/>
        <v>2</v>
      </c>
    </row>
    <row r="544" spans="1:9" x14ac:dyDescent="0.25">
      <c r="A544" s="29" t="s">
        <v>108</v>
      </c>
      <c r="B544" s="29" t="s">
        <v>14</v>
      </c>
      <c r="C544" s="29" t="s">
        <v>20</v>
      </c>
      <c r="D544" s="30">
        <v>0</v>
      </c>
      <c r="E544" s="29">
        <v>25500</v>
      </c>
      <c r="F544" s="28">
        <f t="shared" si="39"/>
        <v>-25500</v>
      </c>
      <c r="G544">
        <f t="shared" si="40"/>
        <v>2026</v>
      </c>
      <c r="H544">
        <f t="shared" si="41"/>
        <v>5</v>
      </c>
      <c r="I544">
        <f t="shared" si="42"/>
        <v>2</v>
      </c>
    </row>
    <row r="545" spans="1:9" x14ac:dyDescent="0.25">
      <c r="A545" s="29" t="s">
        <v>108</v>
      </c>
      <c r="B545" s="29" t="s">
        <v>14</v>
      </c>
      <c r="C545" s="29" t="s">
        <v>17</v>
      </c>
      <c r="D545" s="30">
        <v>0</v>
      </c>
      <c r="E545" s="29">
        <v>1.21</v>
      </c>
      <c r="F545" s="28">
        <f t="shared" si="39"/>
        <v>-1.21</v>
      </c>
      <c r="G545">
        <f t="shared" si="40"/>
        <v>2026</v>
      </c>
      <c r="H545">
        <f t="shared" si="41"/>
        <v>5</v>
      </c>
      <c r="I545">
        <f t="shared" si="42"/>
        <v>2</v>
      </c>
    </row>
    <row r="546" spans="1:9" x14ac:dyDescent="0.25">
      <c r="A546" s="29" t="s">
        <v>108</v>
      </c>
      <c r="B546" s="29" t="s">
        <v>14</v>
      </c>
      <c r="C546" s="29" t="s">
        <v>16</v>
      </c>
      <c r="D546" s="30">
        <v>0</v>
      </c>
      <c r="E546" s="29">
        <v>466.31</v>
      </c>
      <c r="F546" s="28">
        <f t="shared" si="39"/>
        <v>-466.31</v>
      </c>
      <c r="G546">
        <f t="shared" si="40"/>
        <v>2026</v>
      </c>
      <c r="H546">
        <f t="shared" si="41"/>
        <v>5</v>
      </c>
      <c r="I546">
        <f t="shared" si="42"/>
        <v>2</v>
      </c>
    </row>
    <row r="547" spans="1:9" x14ac:dyDescent="0.25">
      <c r="A547" s="29" t="s">
        <v>108</v>
      </c>
      <c r="B547" s="29" t="s">
        <v>14</v>
      </c>
      <c r="C547" s="29" t="s">
        <v>13</v>
      </c>
      <c r="D547" s="30">
        <v>0</v>
      </c>
      <c r="E547" s="29">
        <v>825</v>
      </c>
      <c r="F547" s="28">
        <f t="shared" si="39"/>
        <v>-825</v>
      </c>
      <c r="G547">
        <f t="shared" si="40"/>
        <v>2026</v>
      </c>
      <c r="H547">
        <f t="shared" si="41"/>
        <v>5</v>
      </c>
      <c r="I547">
        <f t="shared" si="42"/>
        <v>2</v>
      </c>
    </row>
    <row r="548" spans="1:9" x14ac:dyDescent="0.25">
      <c r="A548" s="29" t="s">
        <v>108</v>
      </c>
      <c r="B548" s="29" t="s">
        <v>14</v>
      </c>
      <c r="C548" s="29" t="s">
        <v>13</v>
      </c>
      <c r="D548" s="30">
        <v>0</v>
      </c>
      <c r="E548" s="29">
        <v>176.7</v>
      </c>
      <c r="F548" s="28">
        <f t="shared" si="39"/>
        <v>-176.7</v>
      </c>
      <c r="G548">
        <f t="shared" si="40"/>
        <v>2026</v>
      </c>
      <c r="H548">
        <f t="shared" si="41"/>
        <v>5</v>
      </c>
      <c r="I548">
        <f t="shared" si="42"/>
        <v>2</v>
      </c>
    </row>
    <row r="549" spans="1:9" x14ac:dyDescent="0.25">
      <c r="A549" s="29" t="s">
        <v>108</v>
      </c>
      <c r="B549" s="29" t="s">
        <v>14</v>
      </c>
      <c r="C549" s="29" t="s">
        <v>17</v>
      </c>
      <c r="D549" s="30">
        <v>0</v>
      </c>
      <c r="E549" s="29">
        <v>817.4</v>
      </c>
      <c r="F549" s="28">
        <f t="shared" si="39"/>
        <v>-817.4</v>
      </c>
      <c r="G549">
        <f t="shared" si="40"/>
        <v>2026</v>
      </c>
      <c r="H549">
        <f t="shared" si="41"/>
        <v>5</v>
      </c>
      <c r="I549">
        <f t="shared" si="42"/>
        <v>2</v>
      </c>
    </row>
    <row r="550" spans="1:9" x14ac:dyDescent="0.25">
      <c r="A550" s="29" t="s">
        <v>108</v>
      </c>
      <c r="B550" s="29" t="s">
        <v>14</v>
      </c>
      <c r="C550" s="29" t="s">
        <v>13</v>
      </c>
      <c r="D550" s="30">
        <v>0</v>
      </c>
      <c r="E550" s="29">
        <v>1500</v>
      </c>
      <c r="F550" s="28">
        <f t="shared" si="39"/>
        <v>-1500</v>
      </c>
      <c r="G550">
        <f t="shared" si="40"/>
        <v>2026</v>
      </c>
      <c r="H550">
        <f t="shared" si="41"/>
        <v>5</v>
      </c>
      <c r="I550">
        <f t="shared" si="42"/>
        <v>2</v>
      </c>
    </row>
    <row r="551" spans="1:9" x14ac:dyDescent="0.25">
      <c r="A551" s="29" t="s">
        <v>109</v>
      </c>
      <c r="B551" s="29" t="s">
        <v>10</v>
      </c>
      <c r="C551" s="29" t="s">
        <v>22</v>
      </c>
      <c r="D551" s="30">
        <v>19676.71</v>
      </c>
      <c r="E551" s="29">
        <v>0</v>
      </c>
      <c r="F551" s="28">
        <f t="shared" si="39"/>
        <v>19676.71</v>
      </c>
      <c r="G551">
        <f t="shared" si="40"/>
        <v>2026</v>
      </c>
      <c r="H551">
        <f t="shared" si="41"/>
        <v>5</v>
      </c>
      <c r="I551">
        <f t="shared" si="42"/>
        <v>2</v>
      </c>
    </row>
    <row r="552" spans="1:9" x14ac:dyDescent="0.25">
      <c r="A552" s="29" t="s">
        <v>109</v>
      </c>
      <c r="B552" s="29" t="s">
        <v>10</v>
      </c>
      <c r="C552" s="29" t="s">
        <v>12</v>
      </c>
      <c r="D552" s="30">
        <v>74170.13</v>
      </c>
      <c r="E552" s="29">
        <v>0</v>
      </c>
      <c r="F552" s="28">
        <f t="shared" si="39"/>
        <v>74170.13</v>
      </c>
      <c r="G552">
        <f t="shared" si="40"/>
        <v>2026</v>
      </c>
      <c r="H552">
        <f t="shared" si="41"/>
        <v>5</v>
      </c>
      <c r="I552">
        <f t="shared" si="42"/>
        <v>2</v>
      </c>
    </row>
    <row r="553" spans="1:9" x14ac:dyDescent="0.25">
      <c r="A553" s="29" t="s">
        <v>109</v>
      </c>
      <c r="B553" s="29" t="s">
        <v>10</v>
      </c>
      <c r="C553" s="29" t="s">
        <v>23</v>
      </c>
      <c r="D553" s="30">
        <v>10000000</v>
      </c>
      <c r="E553" s="29">
        <v>0</v>
      </c>
      <c r="F553" s="28">
        <f t="shared" si="39"/>
        <v>10000000</v>
      </c>
      <c r="G553">
        <f t="shared" si="40"/>
        <v>2026</v>
      </c>
      <c r="H553">
        <f t="shared" si="41"/>
        <v>5</v>
      </c>
      <c r="I553">
        <f t="shared" si="42"/>
        <v>2</v>
      </c>
    </row>
    <row r="554" spans="1:9" x14ac:dyDescent="0.25">
      <c r="A554" s="29" t="s">
        <v>109</v>
      </c>
      <c r="B554" s="29" t="s">
        <v>10</v>
      </c>
      <c r="C554" s="29" t="s">
        <v>11</v>
      </c>
      <c r="D554" s="30">
        <v>3825</v>
      </c>
      <c r="E554" s="29">
        <v>0</v>
      </c>
      <c r="F554" s="28">
        <f t="shared" si="39"/>
        <v>3825</v>
      </c>
      <c r="G554">
        <f t="shared" si="40"/>
        <v>2026</v>
      </c>
      <c r="H554">
        <f t="shared" si="41"/>
        <v>5</v>
      </c>
      <c r="I554">
        <f t="shared" si="42"/>
        <v>2</v>
      </c>
    </row>
    <row r="555" spans="1:9" x14ac:dyDescent="0.25">
      <c r="A555" s="29" t="s">
        <v>109</v>
      </c>
      <c r="B555" s="29" t="s">
        <v>10</v>
      </c>
      <c r="C555" s="29" t="s">
        <v>11</v>
      </c>
      <c r="D555" s="30">
        <v>9200</v>
      </c>
      <c r="E555" s="29">
        <v>0</v>
      </c>
      <c r="F555" s="28">
        <f t="shared" si="39"/>
        <v>9200</v>
      </c>
      <c r="G555">
        <f t="shared" si="40"/>
        <v>2026</v>
      </c>
      <c r="H555">
        <f t="shared" si="41"/>
        <v>5</v>
      </c>
      <c r="I555">
        <f t="shared" si="42"/>
        <v>2</v>
      </c>
    </row>
    <row r="556" spans="1:9" x14ac:dyDescent="0.25">
      <c r="A556" s="29" t="s">
        <v>109</v>
      </c>
      <c r="B556" s="29" t="s">
        <v>10</v>
      </c>
      <c r="C556" s="29" t="s">
        <v>11</v>
      </c>
      <c r="D556" s="30">
        <v>11000</v>
      </c>
      <c r="E556" s="29">
        <v>0</v>
      </c>
      <c r="F556" s="28">
        <f t="shared" si="39"/>
        <v>11000</v>
      </c>
      <c r="G556">
        <f t="shared" si="40"/>
        <v>2026</v>
      </c>
      <c r="H556">
        <f t="shared" si="41"/>
        <v>5</v>
      </c>
      <c r="I556">
        <f t="shared" si="42"/>
        <v>2</v>
      </c>
    </row>
    <row r="557" spans="1:9" x14ac:dyDescent="0.25">
      <c r="A557" s="29" t="s">
        <v>109</v>
      </c>
      <c r="B557" s="29" t="s">
        <v>10</v>
      </c>
      <c r="C557" s="29" t="s">
        <v>11</v>
      </c>
      <c r="D557" s="30">
        <v>47350</v>
      </c>
      <c r="E557" s="29">
        <v>0</v>
      </c>
      <c r="F557" s="28">
        <f t="shared" si="39"/>
        <v>47350</v>
      </c>
      <c r="G557">
        <f t="shared" si="40"/>
        <v>2026</v>
      </c>
      <c r="H557">
        <f t="shared" si="41"/>
        <v>5</v>
      </c>
      <c r="I557">
        <f t="shared" si="42"/>
        <v>2</v>
      </c>
    </row>
    <row r="558" spans="1:9" x14ac:dyDescent="0.25">
      <c r="A558" s="29" t="s">
        <v>109</v>
      </c>
      <c r="B558" s="29" t="s">
        <v>10</v>
      </c>
      <c r="C558" s="29" t="s">
        <v>11</v>
      </c>
      <c r="D558" s="30">
        <v>8300</v>
      </c>
      <c r="E558" s="29">
        <v>0</v>
      </c>
      <c r="F558" s="28">
        <f t="shared" si="39"/>
        <v>8300</v>
      </c>
      <c r="G558">
        <f t="shared" si="40"/>
        <v>2026</v>
      </c>
      <c r="H558">
        <f t="shared" si="41"/>
        <v>5</v>
      </c>
      <c r="I558">
        <f t="shared" si="42"/>
        <v>2</v>
      </c>
    </row>
    <row r="559" spans="1:9" x14ac:dyDescent="0.25">
      <c r="A559" s="29" t="s">
        <v>109</v>
      </c>
      <c r="B559" s="29" t="s">
        <v>10</v>
      </c>
      <c r="C559" s="29" t="s">
        <v>13</v>
      </c>
      <c r="D559" s="30">
        <v>573.75</v>
      </c>
      <c r="E559" s="29">
        <v>0</v>
      </c>
      <c r="F559" s="28">
        <f t="shared" si="39"/>
        <v>573.75</v>
      </c>
      <c r="G559">
        <f t="shared" si="40"/>
        <v>2026</v>
      </c>
      <c r="H559">
        <f t="shared" si="41"/>
        <v>5</v>
      </c>
      <c r="I559">
        <f t="shared" si="42"/>
        <v>2</v>
      </c>
    </row>
    <row r="560" spans="1:9" x14ac:dyDescent="0.25">
      <c r="A560" s="29" t="s">
        <v>109</v>
      </c>
      <c r="B560" s="29" t="s">
        <v>10</v>
      </c>
      <c r="C560" s="29" t="s">
        <v>13</v>
      </c>
      <c r="D560" s="30">
        <v>1380</v>
      </c>
      <c r="E560" s="29">
        <v>0</v>
      </c>
      <c r="F560" s="28">
        <f t="shared" si="39"/>
        <v>1380</v>
      </c>
      <c r="G560">
        <f t="shared" si="40"/>
        <v>2026</v>
      </c>
      <c r="H560">
        <f t="shared" si="41"/>
        <v>5</v>
      </c>
      <c r="I560">
        <f t="shared" si="42"/>
        <v>2</v>
      </c>
    </row>
    <row r="561" spans="1:9" x14ac:dyDescent="0.25">
      <c r="A561" s="29" t="s">
        <v>109</v>
      </c>
      <c r="B561" s="29" t="s">
        <v>10</v>
      </c>
      <c r="C561" s="29" t="s">
        <v>13</v>
      </c>
      <c r="D561" s="30">
        <v>1650</v>
      </c>
      <c r="E561" s="29">
        <v>0</v>
      </c>
      <c r="F561" s="28">
        <f t="shared" si="39"/>
        <v>1650</v>
      </c>
      <c r="G561">
        <f t="shared" si="40"/>
        <v>2026</v>
      </c>
      <c r="H561">
        <f t="shared" si="41"/>
        <v>5</v>
      </c>
      <c r="I561">
        <f t="shared" si="42"/>
        <v>2</v>
      </c>
    </row>
    <row r="562" spans="1:9" x14ac:dyDescent="0.25">
      <c r="A562" s="29" t="s">
        <v>109</v>
      </c>
      <c r="B562" s="29" t="s">
        <v>10</v>
      </c>
      <c r="C562" s="29" t="s">
        <v>13</v>
      </c>
      <c r="D562" s="30">
        <v>7102.5</v>
      </c>
      <c r="E562" s="29">
        <v>0</v>
      </c>
      <c r="F562" s="28">
        <f t="shared" si="39"/>
        <v>7102.5</v>
      </c>
      <c r="G562">
        <f t="shared" si="40"/>
        <v>2026</v>
      </c>
      <c r="H562">
        <f t="shared" si="41"/>
        <v>5</v>
      </c>
      <c r="I562">
        <f t="shared" si="42"/>
        <v>2</v>
      </c>
    </row>
    <row r="563" spans="1:9" x14ac:dyDescent="0.25">
      <c r="A563" s="29" t="s">
        <v>109</v>
      </c>
      <c r="B563" s="29" t="s">
        <v>10</v>
      </c>
      <c r="C563" s="29" t="s">
        <v>13</v>
      </c>
      <c r="D563" s="30">
        <v>1245</v>
      </c>
      <c r="E563" s="29">
        <v>0</v>
      </c>
      <c r="F563" s="28">
        <f t="shared" si="39"/>
        <v>1245</v>
      </c>
      <c r="G563">
        <f t="shared" si="40"/>
        <v>2026</v>
      </c>
      <c r="H563">
        <f t="shared" si="41"/>
        <v>5</v>
      </c>
      <c r="I563">
        <f t="shared" si="42"/>
        <v>2</v>
      </c>
    </row>
    <row r="564" spans="1:9" x14ac:dyDescent="0.25">
      <c r="A564" s="29" t="s">
        <v>109</v>
      </c>
      <c r="B564" s="29" t="s">
        <v>14</v>
      </c>
      <c r="C564" s="29" t="s">
        <v>23</v>
      </c>
      <c r="D564" s="30">
        <v>0</v>
      </c>
      <c r="E564" s="29">
        <v>14000000</v>
      </c>
      <c r="F564" s="28">
        <f t="shared" si="39"/>
        <v>-14000000</v>
      </c>
      <c r="G564">
        <f t="shared" si="40"/>
        <v>2026</v>
      </c>
      <c r="H564">
        <f t="shared" si="41"/>
        <v>5</v>
      </c>
      <c r="I564">
        <f t="shared" si="42"/>
        <v>2</v>
      </c>
    </row>
    <row r="565" spans="1:9" x14ac:dyDescent="0.25">
      <c r="A565" s="29" t="s">
        <v>109</v>
      </c>
      <c r="B565" s="29" t="s">
        <v>14</v>
      </c>
      <c r="C565" s="29" t="s">
        <v>31</v>
      </c>
      <c r="D565" s="30">
        <v>0</v>
      </c>
      <c r="E565" s="29">
        <v>4600</v>
      </c>
      <c r="F565" s="28">
        <f t="shared" si="39"/>
        <v>-4600</v>
      </c>
      <c r="G565">
        <f t="shared" si="40"/>
        <v>2026</v>
      </c>
      <c r="H565">
        <f t="shared" si="41"/>
        <v>5</v>
      </c>
      <c r="I565">
        <f t="shared" si="42"/>
        <v>2</v>
      </c>
    </row>
    <row r="566" spans="1:9" x14ac:dyDescent="0.25">
      <c r="A566" s="29" t="s">
        <v>109</v>
      </c>
      <c r="B566" s="29" t="s">
        <v>14</v>
      </c>
      <c r="C566" s="29" t="s">
        <v>31</v>
      </c>
      <c r="D566" s="30">
        <v>0</v>
      </c>
      <c r="E566" s="29">
        <v>61697</v>
      </c>
      <c r="F566" s="28">
        <f t="shared" si="39"/>
        <v>-61697</v>
      </c>
      <c r="G566">
        <f t="shared" si="40"/>
        <v>2026</v>
      </c>
      <c r="H566">
        <f t="shared" si="41"/>
        <v>5</v>
      </c>
      <c r="I566">
        <f t="shared" si="42"/>
        <v>2</v>
      </c>
    </row>
    <row r="567" spans="1:9" x14ac:dyDescent="0.25">
      <c r="A567" s="29" t="s">
        <v>109</v>
      </c>
      <c r="B567" s="29" t="s">
        <v>14</v>
      </c>
      <c r="C567" s="29" t="s">
        <v>29</v>
      </c>
      <c r="D567" s="30">
        <v>0</v>
      </c>
      <c r="E567" s="29">
        <v>3000</v>
      </c>
      <c r="F567" s="28">
        <f t="shared" si="39"/>
        <v>-3000</v>
      </c>
      <c r="G567">
        <f t="shared" si="40"/>
        <v>2026</v>
      </c>
      <c r="H567">
        <f t="shared" si="41"/>
        <v>5</v>
      </c>
      <c r="I567">
        <f t="shared" si="42"/>
        <v>2</v>
      </c>
    </row>
    <row r="568" spans="1:9" x14ac:dyDescent="0.25">
      <c r="A568" s="29" t="s">
        <v>109</v>
      </c>
      <c r="B568" s="29" t="s">
        <v>14</v>
      </c>
      <c r="C568" s="29" t="s">
        <v>13</v>
      </c>
      <c r="D568" s="30">
        <v>0</v>
      </c>
      <c r="E568" s="29">
        <v>573.75</v>
      </c>
      <c r="F568" s="28">
        <f t="shared" si="39"/>
        <v>-573.75</v>
      </c>
      <c r="G568">
        <f t="shared" si="40"/>
        <v>2026</v>
      </c>
      <c r="H568">
        <f t="shared" si="41"/>
        <v>5</v>
      </c>
      <c r="I568">
        <f t="shared" si="42"/>
        <v>2</v>
      </c>
    </row>
    <row r="569" spans="1:9" x14ac:dyDescent="0.25">
      <c r="A569" s="29" t="s">
        <v>109</v>
      </c>
      <c r="B569" s="29" t="s">
        <v>14</v>
      </c>
      <c r="C569" s="29" t="s">
        <v>13</v>
      </c>
      <c r="D569" s="30">
        <v>0</v>
      </c>
      <c r="E569" s="29">
        <v>1380</v>
      </c>
      <c r="F569" s="28">
        <f t="shared" si="39"/>
        <v>-1380</v>
      </c>
      <c r="G569">
        <f t="shared" si="40"/>
        <v>2026</v>
      </c>
      <c r="H569">
        <f t="shared" si="41"/>
        <v>5</v>
      </c>
      <c r="I569">
        <f t="shared" si="42"/>
        <v>2</v>
      </c>
    </row>
    <row r="570" spans="1:9" x14ac:dyDescent="0.25">
      <c r="A570" s="29" t="s">
        <v>109</v>
      </c>
      <c r="B570" s="29" t="s">
        <v>14</v>
      </c>
      <c r="C570" s="29" t="s">
        <v>16</v>
      </c>
      <c r="D570" s="30">
        <v>0</v>
      </c>
      <c r="E570" s="29">
        <v>3420</v>
      </c>
      <c r="F570" s="28">
        <f t="shared" si="39"/>
        <v>-3420</v>
      </c>
      <c r="G570">
        <f t="shared" si="40"/>
        <v>2026</v>
      </c>
      <c r="H570">
        <f t="shared" si="41"/>
        <v>5</v>
      </c>
      <c r="I570">
        <f t="shared" si="42"/>
        <v>2</v>
      </c>
    </row>
    <row r="571" spans="1:9" x14ac:dyDescent="0.25">
      <c r="A571" s="29" t="s">
        <v>109</v>
      </c>
      <c r="B571" s="29" t="s">
        <v>14</v>
      </c>
      <c r="C571" s="29" t="s">
        <v>16</v>
      </c>
      <c r="D571" s="30">
        <v>0</v>
      </c>
      <c r="E571" s="29">
        <v>4559</v>
      </c>
      <c r="F571" s="28">
        <f t="shared" si="39"/>
        <v>-4559</v>
      </c>
      <c r="G571">
        <f t="shared" si="40"/>
        <v>2026</v>
      </c>
      <c r="H571">
        <f t="shared" si="41"/>
        <v>5</v>
      </c>
      <c r="I571">
        <f t="shared" si="42"/>
        <v>2</v>
      </c>
    </row>
    <row r="572" spans="1:9" x14ac:dyDescent="0.25">
      <c r="A572" s="29" t="s">
        <v>109</v>
      </c>
      <c r="B572" s="29" t="s">
        <v>14</v>
      </c>
      <c r="C572" s="29" t="s">
        <v>16</v>
      </c>
      <c r="D572" s="30">
        <v>0</v>
      </c>
      <c r="E572" s="29">
        <v>2301.5700000000002</v>
      </c>
      <c r="F572" s="28">
        <f t="shared" si="39"/>
        <v>-2301.5700000000002</v>
      </c>
      <c r="G572">
        <f t="shared" si="40"/>
        <v>2026</v>
      </c>
      <c r="H572">
        <f t="shared" si="41"/>
        <v>5</v>
      </c>
      <c r="I572">
        <f t="shared" si="42"/>
        <v>2</v>
      </c>
    </row>
    <row r="573" spans="1:9" x14ac:dyDescent="0.25">
      <c r="A573" s="29" t="s">
        <v>109</v>
      </c>
      <c r="B573" s="29" t="s">
        <v>14</v>
      </c>
      <c r="C573" s="29" t="s">
        <v>17</v>
      </c>
      <c r="D573" s="30">
        <v>0</v>
      </c>
      <c r="E573" s="29">
        <v>7932.19</v>
      </c>
      <c r="F573" s="28">
        <f t="shared" si="39"/>
        <v>-7932.19</v>
      </c>
      <c r="G573">
        <f t="shared" si="40"/>
        <v>2026</v>
      </c>
      <c r="H573">
        <f t="shared" si="41"/>
        <v>5</v>
      </c>
      <c r="I573">
        <f t="shared" si="42"/>
        <v>2</v>
      </c>
    </row>
    <row r="574" spans="1:9" x14ac:dyDescent="0.25">
      <c r="A574" s="29" t="s">
        <v>109</v>
      </c>
      <c r="B574" s="29" t="s">
        <v>14</v>
      </c>
      <c r="C574" s="29" t="s">
        <v>13</v>
      </c>
      <c r="D574" s="30">
        <v>0</v>
      </c>
      <c r="E574" s="29">
        <v>1650</v>
      </c>
      <c r="F574" s="28">
        <f t="shared" si="39"/>
        <v>-1650</v>
      </c>
      <c r="G574">
        <f t="shared" si="40"/>
        <v>2026</v>
      </c>
      <c r="H574">
        <f t="shared" si="41"/>
        <v>5</v>
      </c>
      <c r="I574">
        <f t="shared" si="42"/>
        <v>2</v>
      </c>
    </row>
    <row r="575" spans="1:9" x14ac:dyDescent="0.25">
      <c r="A575" s="29" t="s">
        <v>109</v>
      </c>
      <c r="B575" s="29" t="s">
        <v>14</v>
      </c>
      <c r="C575" s="29" t="s">
        <v>13</v>
      </c>
      <c r="D575" s="30">
        <v>0</v>
      </c>
      <c r="E575" s="29">
        <v>7102.5</v>
      </c>
      <c r="F575" s="28">
        <f t="shared" si="39"/>
        <v>-7102.5</v>
      </c>
      <c r="G575">
        <f t="shared" si="40"/>
        <v>2026</v>
      </c>
      <c r="H575">
        <f t="shared" si="41"/>
        <v>5</v>
      </c>
      <c r="I575">
        <f t="shared" si="42"/>
        <v>2</v>
      </c>
    </row>
    <row r="576" spans="1:9" x14ac:dyDescent="0.25">
      <c r="A576" s="29" t="s">
        <v>109</v>
      </c>
      <c r="B576" s="29" t="s">
        <v>14</v>
      </c>
      <c r="C576" s="29" t="s">
        <v>27</v>
      </c>
      <c r="D576" s="30">
        <v>0</v>
      </c>
      <c r="E576" s="29">
        <v>22180</v>
      </c>
      <c r="F576" s="28">
        <f t="shared" si="39"/>
        <v>-22180</v>
      </c>
      <c r="G576">
        <f t="shared" si="40"/>
        <v>2026</v>
      </c>
      <c r="H576">
        <f t="shared" si="41"/>
        <v>5</v>
      </c>
      <c r="I576">
        <f t="shared" si="42"/>
        <v>2</v>
      </c>
    </row>
    <row r="577" spans="1:9" x14ac:dyDescent="0.25">
      <c r="A577" s="29" t="s">
        <v>109</v>
      </c>
      <c r="B577" s="29" t="s">
        <v>14</v>
      </c>
      <c r="C577" s="29" t="s">
        <v>20</v>
      </c>
      <c r="D577" s="30">
        <v>0</v>
      </c>
      <c r="E577" s="29">
        <v>30010</v>
      </c>
      <c r="F577" s="28">
        <f t="shared" si="39"/>
        <v>-30010</v>
      </c>
      <c r="G577">
        <f t="shared" si="40"/>
        <v>2026</v>
      </c>
      <c r="H577">
        <f t="shared" si="41"/>
        <v>5</v>
      </c>
      <c r="I577">
        <f t="shared" si="42"/>
        <v>2</v>
      </c>
    </row>
    <row r="578" spans="1:9" x14ac:dyDescent="0.25">
      <c r="A578" s="29" t="s">
        <v>109</v>
      </c>
      <c r="B578" s="29" t="s">
        <v>14</v>
      </c>
      <c r="C578" s="29" t="s">
        <v>13</v>
      </c>
      <c r="D578" s="30">
        <v>0</v>
      </c>
      <c r="E578" s="29">
        <v>1245</v>
      </c>
      <c r="F578" s="28">
        <f t="shared" si="39"/>
        <v>-1245</v>
      </c>
      <c r="G578">
        <f t="shared" si="40"/>
        <v>2026</v>
      </c>
      <c r="H578">
        <f t="shared" si="41"/>
        <v>5</v>
      </c>
      <c r="I578">
        <f t="shared" si="42"/>
        <v>2</v>
      </c>
    </row>
    <row r="579" spans="1:9" x14ac:dyDescent="0.25">
      <c r="A579" s="29" t="s">
        <v>110</v>
      </c>
      <c r="B579" s="29" t="s">
        <v>10</v>
      </c>
      <c r="C579" s="29" t="s">
        <v>12</v>
      </c>
      <c r="D579" s="30">
        <v>8628.1299999999992</v>
      </c>
      <c r="E579" s="29">
        <v>0</v>
      </c>
      <c r="F579" s="28">
        <f t="shared" si="39"/>
        <v>8628.1299999999992</v>
      </c>
      <c r="G579">
        <f t="shared" si="40"/>
        <v>2026</v>
      </c>
      <c r="H579">
        <f t="shared" si="41"/>
        <v>5</v>
      </c>
      <c r="I579">
        <f t="shared" si="42"/>
        <v>2</v>
      </c>
    </row>
    <row r="580" spans="1:9" x14ac:dyDescent="0.25">
      <c r="A580" s="29" t="s">
        <v>110</v>
      </c>
      <c r="B580" s="29" t="s">
        <v>10</v>
      </c>
      <c r="C580" s="29" t="s">
        <v>11</v>
      </c>
      <c r="D580" s="30">
        <v>23157.4</v>
      </c>
      <c r="E580" s="29">
        <v>0</v>
      </c>
      <c r="F580" s="28">
        <f t="shared" si="39"/>
        <v>23157.4</v>
      </c>
      <c r="G580">
        <f t="shared" si="40"/>
        <v>2026</v>
      </c>
      <c r="H580">
        <f t="shared" si="41"/>
        <v>5</v>
      </c>
      <c r="I580">
        <f t="shared" si="42"/>
        <v>2</v>
      </c>
    </row>
    <row r="581" spans="1:9" x14ac:dyDescent="0.25">
      <c r="A581" s="29" t="s">
        <v>110</v>
      </c>
      <c r="B581" s="29" t="s">
        <v>10</v>
      </c>
      <c r="C581" s="29" t="s">
        <v>11</v>
      </c>
      <c r="D581" s="30">
        <v>34735</v>
      </c>
      <c r="E581" s="29">
        <v>0</v>
      </c>
      <c r="F581" s="28">
        <f t="shared" si="39"/>
        <v>34735</v>
      </c>
      <c r="G581">
        <f t="shared" si="40"/>
        <v>2026</v>
      </c>
      <c r="H581">
        <f t="shared" si="41"/>
        <v>5</v>
      </c>
      <c r="I581">
        <f t="shared" si="42"/>
        <v>2</v>
      </c>
    </row>
    <row r="582" spans="1:9" x14ac:dyDescent="0.25">
      <c r="A582" s="29" t="s">
        <v>110</v>
      </c>
      <c r="B582" s="29" t="s">
        <v>10</v>
      </c>
      <c r="C582" s="29" t="s">
        <v>11</v>
      </c>
      <c r="D582" s="30">
        <v>29880</v>
      </c>
      <c r="E582" s="29">
        <v>0</v>
      </c>
      <c r="F582" s="28">
        <f t="shared" si="39"/>
        <v>29880</v>
      </c>
      <c r="G582">
        <f t="shared" si="40"/>
        <v>2026</v>
      </c>
      <c r="H582">
        <f t="shared" si="41"/>
        <v>5</v>
      </c>
      <c r="I582">
        <f t="shared" si="42"/>
        <v>2</v>
      </c>
    </row>
    <row r="583" spans="1:9" x14ac:dyDescent="0.25">
      <c r="A583" s="29" t="s">
        <v>110</v>
      </c>
      <c r="B583" s="29" t="s">
        <v>10</v>
      </c>
      <c r="C583" s="29" t="s">
        <v>11</v>
      </c>
      <c r="D583" s="30">
        <v>5000</v>
      </c>
      <c r="E583" s="29">
        <v>0</v>
      </c>
      <c r="F583" s="28">
        <f t="shared" si="39"/>
        <v>5000</v>
      </c>
      <c r="G583">
        <f t="shared" si="40"/>
        <v>2026</v>
      </c>
      <c r="H583">
        <f t="shared" si="41"/>
        <v>5</v>
      </c>
      <c r="I583">
        <f t="shared" si="42"/>
        <v>2</v>
      </c>
    </row>
    <row r="584" spans="1:9" x14ac:dyDescent="0.25">
      <c r="A584" s="29" t="s">
        <v>110</v>
      </c>
      <c r="B584" s="29" t="s">
        <v>10</v>
      </c>
      <c r="C584" s="29" t="s">
        <v>11</v>
      </c>
      <c r="D584" s="30">
        <v>73506.25</v>
      </c>
      <c r="E584" s="29">
        <v>0</v>
      </c>
      <c r="F584" s="28">
        <f t="shared" si="39"/>
        <v>73506.25</v>
      </c>
      <c r="G584">
        <f t="shared" si="40"/>
        <v>2026</v>
      </c>
      <c r="H584">
        <f t="shared" si="41"/>
        <v>5</v>
      </c>
      <c r="I584">
        <f t="shared" si="42"/>
        <v>2</v>
      </c>
    </row>
    <row r="585" spans="1:9" x14ac:dyDescent="0.25">
      <c r="A585" s="29" t="s">
        <v>110</v>
      </c>
      <c r="B585" s="29" t="s">
        <v>10</v>
      </c>
      <c r="C585" s="29" t="s">
        <v>13</v>
      </c>
      <c r="D585" s="30">
        <v>3473.61</v>
      </c>
      <c r="E585" s="29">
        <v>0</v>
      </c>
      <c r="F585" s="28">
        <f t="shared" si="39"/>
        <v>3473.61</v>
      </c>
      <c r="G585">
        <f t="shared" si="40"/>
        <v>2026</v>
      </c>
      <c r="H585">
        <f t="shared" si="41"/>
        <v>5</v>
      </c>
      <c r="I585">
        <f t="shared" si="42"/>
        <v>2</v>
      </c>
    </row>
    <row r="586" spans="1:9" x14ac:dyDescent="0.25">
      <c r="A586" s="29" t="s">
        <v>110</v>
      </c>
      <c r="B586" s="29" t="s">
        <v>10</v>
      </c>
      <c r="C586" s="29" t="s">
        <v>13</v>
      </c>
      <c r="D586" s="30">
        <v>5210.25</v>
      </c>
      <c r="E586" s="29">
        <v>0</v>
      </c>
      <c r="F586" s="28">
        <f t="shared" ref="F586:F649" si="43">D586-E586</f>
        <v>5210.25</v>
      </c>
      <c r="G586">
        <f t="shared" ref="G586:G649" si="44">YEAR(A586)</f>
        <v>2026</v>
      </c>
      <c r="H586">
        <f t="shared" ref="H586:H649" si="45">MONTH(A586)</f>
        <v>5</v>
      </c>
      <c r="I586">
        <f t="shared" ref="I586:I649" si="46">ROUNDUP(H586/3,0)</f>
        <v>2</v>
      </c>
    </row>
    <row r="587" spans="1:9" x14ac:dyDescent="0.25">
      <c r="A587" s="29" t="s">
        <v>110</v>
      </c>
      <c r="B587" s="29" t="s">
        <v>10</v>
      </c>
      <c r="C587" s="29" t="s">
        <v>13</v>
      </c>
      <c r="D587" s="30">
        <v>4482</v>
      </c>
      <c r="E587" s="29">
        <v>0</v>
      </c>
      <c r="F587" s="28">
        <f t="shared" si="43"/>
        <v>4482</v>
      </c>
      <c r="G587">
        <f t="shared" si="44"/>
        <v>2026</v>
      </c>
      <c r="H587">
        <f t="shared" si="45"/>
        <v>5</v>
      </c>
      <c r="I587">
        <f t="shared" si="46"/>
        <v>2</v>
      </c>
    </row>
    <row r="588" spans="1:9" x14ac:dyDescent="0.25">
      <c r="A588" s="29" t="s">
        <v>110</v>
      </c>
      <c r="B588" s="29" t="s">
        <v>10</v>
      </c>
      <c r="C588" s="29" t="s">
        <v>13</v>
      </c>
      <c r="D588" s="30">
        <v>750</v>
      </c>
      <c r="E588" s="29">
        <v>0</v>
      </c>
      <c r="F588" s="28">
        <f t="shared" si="43"/>
        <v>750</v>
      </c>
      <c r="G588">
        <f t="shared" si="44"/>
        <v>2026</v>
      </c>
      <c r="H588">
        <f t="shared" si="45"/>
        <v>5</v>
      </c>
      <c r="I588">
        <f t="shared" si="46"/>
        <v>2</v>
      </c>
    </row>
    <row r="589" spans="1:9" x14ac:dyDescent="0.25">
      <c r="A589" s="29" t="s">
        <v>110</v>
      </c>
      <c r="B589" s="29" t="s">
        <v>10</v>
      </c>
      <c r="C589" s="29" t="s">
        <v>13</v>
      </c>
      <c r="D589" s="30">
        <v>11025.93</v>
      </c>
      <c r="E589" s="29">
        <v>0</v>
      </c>
      <c r="F589" s="28">
        <f t="shared" si="43"/>
        <v>11025.93</v>
      </c>
      <c r="G589">
        <f t="shared" si="44"/>
        <v>2026</v>
      </c>
      <c r="H589">
        <f t="shared" si="45"/>
        <v>5</v>
      </c>
      <c r="I589">
        <f t="shared" si="46"/>
        <v>2</v>
      </c>
    </row>
    <row r="590" spans="1:9" x14ac:dyDescent="0.25">
      <c r="A590" s="29" t="s">
        <v>110</v>
      </c>
      <c r="B590" s="29" t="s">
        <v>14</v>
      </c>
      <c r="C590" s="29" t="s">
        <v>29</v>
      </c>
      <c r="D590" s="30">
        <v>0</v>
      </c>
      <c r="E590" s="29">
        <v>55314</v>
      </c>
      <c r="F590" s="28">
        <f t="shared" si="43"/>
        <v>-55314</v>
      </c>
      <c r="G590">
        <f t="shared" si="44"/>
        <v>2026</v>
      </c>
      <c r="H590">
        <f t="shared" si="45"/>
        <v>5</v>
      </c>
      <c r="I590">
        <f t="shared" si="46"/>
        <v>2</v>
      </c>
    </row>
    <row r="591" spans="1:9" x14ac:dyDescent="0.25">
      <c r="A591" s="29" t="s">
        <v>110</v>
      </c>
      <c r="B591" s="29" t="s">
        <v>14</v>
      </c>
      <c r="C591" s="29" t="s">
        <v>13</v>
      </c>
      <c r="D591" s="30">
        <v>0</v>
      </c>
      <c r="E591" s="29">
        <v>3473.61</v>
      </c>
      <c r="F591" s="28">
        <f t="shared" si="43"/>
        <v>-3473.61</v>
      </c>
      <c r="G591">
        <f t="shared" si="44"/>
        <v>2026</v>
      </c>
      <c r="H591">
        <f t="shared" si="45"/>
        <v>5</v>
      </c>
      <c r="I591">
        <f t="shared" si="46"/>
        <v>2</v>
      </c>
    </row>
    <row r="592" spans="1:9" x14ac:dyDescent="0.25">
      <c r="A592" s="29" t="s">
        <v>110</v>
      </c>
      <c r="B592" s="29" t="s">
        <v>14</v>
      </c>
      <c r="C592" s="29" t="s">
        <v>13</v>
      </c>
      <c r="D592" s="30">
        <v>0</v>
      </c>
      <c r="E592" s="29">
        <v>5210.25</v>
      </c>
      <c r="F592" s="28">
        <f t="shared" si="43"/>
        <v>-5210.25</v>
      </c>
      <c r="G592">
        <f t="shared" si="44"/>
        <v>2026</v>
      </c>
      <c r="H592">
        <f t="shared" si="45"/>
        <v>5</v>
      </c>
      <c r="I592">
        <f t="shared" si="46"/>
        <v>2</v>
      </c>
    </row>
    <row r="593" spans="1:9" x14ac:dyDescent="0.25">
      <c r="A593" s="29" t="s">
        <v>110</v>
      </c>
      <c r="B593" s="29" t="s">
        <v>14</v>
      </c>
      <c r="C593" s="29" t="s">
        <v>13</v>
      </c>
      <c r="D593" s="30">
        <v>0</v>
      </c>
      <c r="E593" s="29">
        <v>4482</v>
      </c>
      <c r="F593" s="28">
        <f t="shared" si="43"/>
        <v>-4482</v>
      </c>
      <c r="G593">
        <f t="shared" si="44"/>
        <v>2026</v>
      </c>
      <c r="H593">
        <f t="shared" si="45"/>
        <v>5</v>
      </c>
      <c r="I593">
        <f t="shared" si="46"/>
        <v>2</v>
      </c>
    </row>
    <row r="594" spans="1:9" x14ac:dyDescent="0.25">
      <c r="A594" s="29" t="s">
        <v>110</v>
      </c>
      <c r="B594" s="29" t="s">
        <v>14</v>
      </c>
      <c r="C594" s="29" t="s">
        <v>13</v>
      </c>
      <c r="D594" s="30">
        <v>0</v>
      </c>
      <c r="E594" s="29">
        <v>750</v>
      </c>
      <c r="F594" s="28">
        <f t="shared" si="43"/>
        <v>-750</v>
      </c>
      <c r="G594">
        <f t="shared" si="44"/>
        <v>2026</v>
      </c>
      <c r="H594">
        <f t="shared" si="45"/>
        <v>5</v>
      </c>
      <c r="I594">
        <f t="shared" si="46"/>
        <v>2</v>
      </c>
    </row>
    <row r="595" spans="1:9" x14ac:dyDescent="0.25">
      <c r="A595" s="29" t="s">
        <v>110</v>
      </c>
      <c r="B595" s="29" t="s">
        <v>14</v>
      </c>
      <c r="C595" s="29" t="s">
        <v>13</v>
      </c>
      <c r="D595" s="30">
        <v>0</v>
      </c>
      <c r="E595" s="29">
        <v>11025.93</v>
      </c>
      <c r="F595" s="28">
        <f t="shared" si="43"/>
        <v>-11025.93</v>
      </c>
      <c r="G595">
        <f t="shared" si="44"/>
        <v>2026</v>
      </c>
      <c r="H595">
        <f t="shared" si="45"/>
        <v>5</v>
      </c>
      <c r="I595">
        <f t="shared" si="46"/>
        <v>2</v>
      </c>
    </row>
    <row r="596" spans="1:9" x14ac:dyDescent="0.25">
      <c r="A596" s="29" t="s">
        <v>111</v>
      </c>
      <c r="B596" s="29" t="s">
        <v>10</v>
      </c>
      <c r="C596" s="29" t="s">
        <v>12</v>
      </c>
      <c r="D596" s="30">
        <v>4136.24</v>
      </c>
      <c r="E596" s="29">
        <v>0</v>
      </c>
      <c r="F596" s="28">
        <f t="shared" si="43"/>
        <v>4136.24</v>
      </c>
      <c r="G596">
        <f t="shared" si="44"/>
        <v>2026</v>
      </c>
      <c r="H596">
        <f t="shared" si="45"/>
        <v>5</v>
      </c>
      <c r="I596">
        <f t="shared" si="46"/>
        <v>2</v>
      </c>
    </row>
    <row r="597" spans="1:9" x14ac:dyDescent="0.25">
      <c r="A597" s="29" t="s">
        <v>111</v>
      </c>
      <c r="B597" s="29" t="s">
        <v>10</v>
      </c>
      <c r="C597" s="29" t="s">
        <v>11</v>
      </c>
      <c r="D597" s="30">
        <v>10000</v>
      </c>
      <c r="E597" s="29">
        <v>0</v>
      </c>
      <c r="F597" s="28">
        <f t="shared" si="43"/>
        <v>10000</v>
      </c>
      <c r="G597">
        <f t="shared" si="44"/>
        <v>2026</v>
      </c>
      <c r="H597">
        <f t="shared" si="45"/>
        <v>5</v>
      </c>
      <c r="I597">
        <f t="shared" si="46"/>
        <v>2</v>
      </c>
    </row>
    <row r="598" spans="1:9" x14ac:dyDescent="0.25">
      <c r="A598" s="29" t="s">
        <v>111</v>
      </c>
      <c r="B598" s="29" t="s">
        <v>10</v>
      </c>
      <c r="C598" s="29" t="s">
        <v>11</v>
      </c>
      <c r="D598" s="30">
        <v>19550</v>
      </c>
      <c r="E598" s="29">
        <v>0</v>
      </c>
      <c r="F598" s="28">
        <f t="shared" si="43"/>
        <v>19550</v>
      </c>
      <c r="G598">
        <f t="shared" si="44"/>
        <v>2026</v>
      </c>
      <c r="H598">
        <f t="shared" si="45"/>
        <v>5</v>
      </c>
      <c r="I598">
        <f t="shared" si="46"/>
        <v>2</v>
      </c>
    </row>
    <row r="599" spans="1:9" x14ac:dyDescent="0.25">
      <c r="A599" s="29" t="s">
        <v>111</v>
      </c>
      <c r="B599" s="29" t="s">
        <v>10</v>
      </c>
      <c r="C599" s="29" t="s">
        <v>11</v>
      </c>
      <c r="D599" s="30">
        <v>21604.1</v>
      </c>
      <c r="E599" s="29">
        <v>0</v>
      </c>
      <c r="F599" s="28">
        <f t="shared" si="43"/>
        <v>21604.1</v>
      </c>
      <c r="G599">
        <f t="shared" si="44"/>
        <v>2026</v>
      </c>
      <c r="H599">
        <f t="shared" si="45"/>
        <v>5</v>
      </c>
      <c r="I599">
        <f t="shared" si="46"/>
        <v>2</v>
      </c>
    </row>
    <row r="600" spans="1:9" x14ac:dyDescent="0.25">
      <c r="A600" s="29" t="s">
        <v>111</v>
      </c>
      <c r="B600" s="29" t="s">
        <v>10</v>
      </c>
      <c r="C600" s="29" t="s">
        <v>11</v>
      </c>
      <c r="D600" s="30">
        <v>129670.5</v>
      </c>
      <c r="E600" s="29">
        <v>0</v>
      </c>
      <c r="F600" s="28">
        <f t="shared" si="43"/>
        <v>129670.5</v>
      </c>
      <c r="G600">
        <f t="shared" si="44"/>
        <v>2026</v>
      </c>
      <c r="H600">
        <f t="shared" si="45"/>
        <v>5</v>
      </c>
      <c r="I600">
        <f t="shared" si="46"/>
        <v>2</v>
      </c>
    </row>
    <row r="601" spans="1:9" x14ac:dyDescent="0.25">
      <c r="A601" s="29" t="s">
        <v>111</v>
      </c>
      <c r="B601" s="29" t="s">
        <v>10</v>
      </c>
      <c r="C601" s="29" t="s">
        <v>11</v>
      </c>
      <c r="D601" s="30">
        <v>49238.5</v>
      </c>
      <c r="E601" s="29">
        <v>0</v>
      </c>
      <c r="F601" s="28">
        <f t="shared" si="43"/>
        <v>49238.5</v>
      </c>
      <c r="G601">
        <f t="shared" si="44"/>
        <v>2026</v>
      </c>
      <c r="H601">
        <f t="shared" si="45"/>
        <v>5</v>
      </c>
      <c r="I601">
        <f t="shared" si="46"/>
        <v>2</v>
      </c>
    </row>
    <row r="602" spans="1:9" x14ac:dyDescent="0.25">
      <c r="A602" s="29" t="s">
        <v>111</v>
      </c>
      <c r="B602" s="29" t="s">
        <v>10</v>
      </c>
      <c r="C602" s="29" t="s">
        <v>11</v>
      </c>
      <c r="D602" s="30">
        <v>8160</v>
      </c>
      <c r="E602" s="29">
        <v>0</v>
      </c>
      <c r="F602" s="28">
        <f t="shared" si="43"/>
        <v>8160</v>
      </c>
      <c r="G602">
        <f t="shared" si="44"/>
        <v>2026</v>
      </c>
      <c r="H602">
        <f t="shared" si="45"/>
        <v>5</v>
      </c>
      <c r="I602">
        <f t="shared" si="46"/>
        <v>2</v>
      </c>
    </row>
    <row r="603" spans="1:9" x14ac:dyDescent="0.25">
      <c r="A603" s="29" t="s">
        <v>111</v>
      </c>
      <c r="B603" s="29" t="s">
        <v>10</v>
      </c>
      <c r="C603" s="29" t="s">
        <v>13</v>
      </c>
      <c r="D603" s="30">
        <v>126000</v>
      </c>
      <c r="E603" s="29">
        <v>0</v>
      </c>
      <c r="F603" s="28">
        <f t="shared" si="43"/>
        <v>126000</v>
      </c>
      <c r="G603">
        <f t="shared" si="44"/>
        <v>2026</v>
      </c>
      <c r="H603">
        <f t="shared" si="45"/>
        <v>5</v>
      </c>
      <c r="I603">
        <f t="shared" si="46"/>
        <v>2</v>
      </c>
    </row>
    <row r="604" spans="1:9" x14ac:dyDescent="0.25">
      <c r="A604" s="29" t="s">
        <v>111</v>
      </c>
      <c r="B604" s="29" t="s">
        <v>10</v>
      </c>
      <c r="C604" s="29" t="s">
        <v>11</v>
      </c>
      <c r="D604" s="30">
        <v>24795</v>
      </c>
      <c r="E604" s="29">
        <v>0</v>
      </c>
      <c r="F604" s="28">
        <f t="shared" si="43"/>
        <v>24795</v>
      </c>
      <c r="G604">
        <f t="shared" si="44"/>
        <v>2026</v>
      </c>
      <c r="H604">
        <f t="shared" si="45"/>
        <v>5</v>
      </c>
      <c r="I604">
        <f t="shared" si="46"/>
        <v>2</v>
      </c>
    </row>
    <row r="605" spans="1:9" x14ac:dyDescent="0.25">
      <c r="A605" s="29" t="s">
        <v>111</v>
      </c>
      <c r="B605" s="29" t="s">
        <v>10</v>
      </c>
      <c r="C605" s="29" t="s">
        <v>11</v>
      </c>
      <c r="D605" s="30">
        <v>31500</v>
      </c>
      <c r="E605" s="29">
        <v>0</v>
      </c>
      <c r="F605" s="28">
        <f t="shared" si="43"/>
        <v>31500</v>
      </c>
      <c r="G605">
        <f t="shared" si="44"/>
        <v>2026</v>
      </c>
      <c r="H605">
        <f t="shared" si="45"/>
        <v>5</v>
      </c>
      <c r="I605">
        <f t="shared" si="46"/>
        <v>2</v>
      </c>
    </row>
    <row r="606" spans="1:9" x14ac:dyDescent="0.25">
      <c r="A606" s="29" t="s">
        <v>111</v>
      </c>
      <c r="B606" s="29" t="s">
        <v>10</v>
      </c>
      <c r="C606" s="29" t="s">
        <v>11</v>
      </c>
      <c r="D606" s="30">
        <v>5775</v>
      </c>
      <c r="E606" s="29">
        <v>0</v>
      </c>
      <c r="F606" s="28">
        <f t="shared" si="43"/>
        <v>5775</v>
      </c>
      <c r="G606">
        <f t="shared" si="44"/>
        <v>2026</v>
      </c>
      <c r="H606">
        <f t="shared" si="45"/>
        <v>5</v>
      </c>
      <c r="I606">
        <f t="shared" si="46"/>
        <v>2</v>
      </c>
    </row>
    <row r="607" spans="1:9" x14ac:dyDescent="0.25">
      <c r="A607" s="29" t="s">
        <v>111</v>
      </c>
      <c r="B607" s="29" t="s">
        <v>10</v>
      </c>
      <c r="C607" s="29" t="s">
        <v>11</v>
      </c>
      <c r="D607" s="30">
        <v>7100</v>
      </c>
      <c r="E607" s="29">
        <v>0</v>
      </c>
      <c r="F607" s="28">
        <f t="shared" si="43"/>
        <v>7100</v>
      </c>
      <c r="G607">
        <f t="shared" si="44"/>
        <v>2026</v>
      </c>
      <c r="H607">
        <f t="shared" si="45"/>
        <v>5</v>
      </c>
      <c r="I607">
        <f t="shared" si="46"/>
        <v>2</v>
      </c>
    </row>
    <row r="608" spans="1:9" x14ac:dyDescent="0.25">
      <c r="A608" s="29" t="s">
        <v>111</v>
      </c>
      <c r="B608" s="29" t="s">
        <v>10</v>
      </c>
      <c r="C608" s="29" t="s">
        <v>11</v>
      </c>
      <c r="D608" s="30">
        <v>10000</v>
      </c>
      <c r="E608" s="29">
        <v>0</v>
      </c>
      <c r="F608" s="28">
        <f t="shared" si="43"/>
        <v>10000</v>
      </c>
      <c r="G608">
        <f t="shared" si="44"/>
        <v>2026</v>
      </c>
      <c r="H608">
        <f t="shared" si="45"/>
        <v>5</v>
      </c>
      <c r="I608">
        <f t="shared" si="46"/>
        <v>2</v>
      </c>
    </row>
    <row r="609" spans="1:9" x14ac:dyDescent="0.25">
      <c r="A609" s="29" t="s">
        <v>111</v>
      </c>
      <c r="B609" s="29" t="s">
        <v>10</v>
      </c>
      <c r="C609" s="29" t="s">
        <v>13</v>
      </c>
      <c r="D609" s="30">
        <v>1500</v>
      </c>
      <c r="E609" s="29">
        <v>0</v>
      </c>
      <c r="F609" s="28">
        <f t="shared" si="43"/>
        <v>1500</v>
      </c>
      <c r="G609">
        <f t="shared" si="44"/>
        <v>2026</v>
      </c>
      <c r="H609">
        <f t="shared" si="45"/>
        <v>5</v>
      </c>
      <c r="I609">
        <f t="shared" si="46"/>
        <v>2</v>
      </c>
    </row>
    <row r="610" spans="1:9" x14ac:dyDescent="0.25">
      <c r="A610" s="29" t="s">
        <v>111</v>
      </c>
      <c r="B610" s="29" t="s">
        <v>10</v>
      </c>
      <c r="C610" s="29" t="s">
        <v>13</v>
      </c>
      <c r="D610" s="30">
        <v>2932.5</v>
      </c>
      <c r="E610" s="29">
        <v>0</v>
      </c>
      <c r="F610" s="28">
        <f t="shared" si="43"/>
        <v>2932.5</v>
      </c>
      <c r="G610">
        <f t="shared" si="44"/>
        <v>2026</v>
      </c>
      <c r="H610">
        <f t="shared" si="45"/>
        <v>5</v>
      </c>
      <c r="I610">
        <f t="shared" si="46"/>
        <v>2</v>
      </c>
    </row>
    <row r="611" spans="1:9" x14ac:dyDescent="0.25">
      <c r="A611" s="29" t="s">
        <v>111</v>
      </c>
      <c r="B611" s="29" t="s">
        <v>10</v>
      </c>
      <c r="C611" s="29" t="s">
        <v>13</v>
      </c>
      <c r="D611" s="30">
        <v>3240.61</v>
      </c>
      <c r="E611" s="29">
        <v>0</v>
      </c>
      <c r="F611" s="28">
        <f t="shared" si="43"/>
        <v>3240.61</v>
      </c>
      <c r="G611">
        <f t="shared" si="44"/>
        <v>2026</v>
      </c>
      <c r="H611">
        <f t="shared" si="45"/>
        <v>5</v>
      </c>
      <c r="I611">
        <f t="shared" si="46"/>
        <v>2</v>
      </c>
    </row>
    <row r="612" spans="1:9" x14ac:dyDescent="0.25">
      <c r="A612" s="29" t="s">
        <v>111</v>
      </c>
      <c r="B612" s="29" t="s">
        <v>10</v>
      </c>
      <c r="C612" s="29" t="s">
        <v>13</v>
      </c>
      <c r="D612" s="30">
        <v>19450.57</v>
      </c>
      <c r="E612" s="29">
        <v>0</v>
      </c>
      <c r="F612" s="28">
        <f t="shared" si="43"/>
        <v>19450.57</v>
      </c>
      <c r="G612">
        <f t="shared" si="44"/>
        <v>2026</v>
      </c>
      <c r="H612">
        <f t="shared" si="45"/>
        <v>5</v>
      </c>
      <c r="I612">
        <f t="shared" si="46"/>
        <v>2</v>
      </c>
    </row>
    <row r="613" spans="1:9" x14ac:dyDescent="0.25">
      <c r="A613" s="29" t="s">
        <v>111</v>
      </c>
      <c r="B613" s="29" t="s">
        <v>10</v>
      </c>
      <c r="C613" s="29" t="s">
        <v>13</v>
      </c>
      <c r="D613" s="30">
        <v>7385.77</v>
      </c>
      <c r="E613" s="29">
        <v>0</v>
      </c>
      <c r="F613" s="28">
        <f t="shared" si="43"/>
        <v>7385.77</v>
      </c>
      <c r="G613">
        <f t="shared" si="44"/>
        <v>2026</v>
      </c>
      <c r="H613">
        <f t="shared" si="45"/>
        <v>5</v>
      </c>
      <c r="I613">
        <f t="shared" si="46"/>
        <v>2</v>
      </c>
    </row>
    <row r="614" spans="1:9" x14ac:dyDescent="0.25">
      <c r="A614" s="29" t="s">
        <v>111</v>
      </c>
      <c r="B614" s="29" t="s">
        <v>10</v>
      </c>
      <c r="C614" s="29" t="s">
        <v>13</v>
      </c>
      <c r="D614" s="30">
        <v>1224</v>
      </c>
      <c r="E614" s="29">
        <v>0</v>
      </c>
      <c r="F614" s="28">
        <f t="shared" si="43"/>
        <v>1224</v>
      </c>
      <c r="G614">
        <f t="shared" si="44"/>
        <v>2026</v>
      </c>
      <c r="H614">
        <f t="shared" si="45"/>
        <v>5</v>
      </c>
      <c r="I614">
        <f t="shared" si="46"/>
        <v>2</v>
      </c>
    </row>
    <row r="615" spans="1:9" x14ac:dyDescent="0.25">
      <c r="A615" s="29" t="s">
        <v>111</v>
      </c>
      <c r="B615" s="29" t="s">
        <v>10</v>
      </c>
      <c r="C615" s="29" t="s">
        <v>13</v>
      </c>
      <c r="D615" s="30">
        <v>3719.25</v>
      </c>
      <c r="E615" s="29">
        <v>0</v>
      </c>
      <c r="F615" s="28">
        <f t="shared" si="43"/>
        <v>3719.25</v>
      </c>
      <c r="G615">
        <f t="shared" si="44"/>
        <v>2026</v>
      </c>
      <c r="H615">
        <f t="shared" si="45"/>
        <v>5</v>
      </c>
      <c r="I615">
        <f t="shared" si="46"/>
        <v>2</v>
      </c>
    </row>
    <row r="616" spans="1:9" x14ac:dyDescent="0.25">
      <c r="A616" s="29" t="s">
        <v>111</v>
      </c>
      <c r="B616" s="29" t="s">
        <v>10</v>
      </c>
      <c r="C616" s="29" t="s">
        <v>13</v>
      </c>
      <c r="D616" s="30">
        <v>4725</v>
      </c>
      <c r="E616" s="29">
        <v>0</v>
      </c>
      <c r="F616" s="28">
        <f t="shared" si="43"/>
        <v>4725</v>
      </c>
      <c r="G616">
        <f t="shared" si="44"/>
        <v>2026</v>
      </c>
      <c r="H616">
        <f t="shared" si="45"/>
        <v>5</v>
      </c>
      <c r="I616">
        <f t="shared" si="46"/>
        <v>2</v>
      </c>
    </row>
    <row r="617" spans="1:9" x14ac:dyDescent="0.25">
      <c r="A617" s="29" t="s">
        <v>111</v>
      </c>
      <c r="B617" s="29" t="s">
        <v>10</v>
      </c>
      <c r="C617" s="29" t="s">
        <v>13</v>
      </c>
      <c r="D617" s="30">
        <v>866.25</v>
      </c>
      <c r="E617" s="29">
        <v>0</v>
      </c>
      <c r="F617" s="28">
        <f t="shared" si="43"/>
        <v>866.25</v>
      </c>
      <c r="G617">
        <f t="shared" si="44"/>
        <v>2026</v>
      </c>
      <c r="H617">
        <f t="shared" si="45"/>
        <v>5</v>
      </c>
      <c r="I617">
        <f t="shared" si="46"/>
        <v>2</v>
      </c>
    </row>
    <row r="618" spans="1:9" x14ac:dyDescent="0.25">
      <c r="A618" s="29" t="s">
        <v>111</v>
      </c>
      <c r="B618" s="29" t="s">
        <v>10</v>
      </c>
      <c r="C618" s="29" t="s">
        <v>13</v>
      </c>
      <c r="D618" s="30">
        <v>1065</v>
      </c>
      <c r="E618" s="29">
        <v>0</v>
      </c>
      <c r="F618" s="28">
        <f t="shared" si="43"/>
        <v>1065</v>
      </c>
      <c r="G618">
        <f t="shared" si="44"/>
        <v>2026</v>
      </c>
      <c r="H618">
        <f t="shared" si="45"/>
        <v>5</v>
      </c>
      <c r="I618">
        <f t="shared" si="46"/>
        <v>2</v>
      </c>
    </row>
    <row r="619" spans="1:9" x14ac:dyDescent="0.25">
      <c r="A619" s="29" t="s">
        <v>111</v>
      </c>
      <c r="B619" s="29" t="s">
        <v>10</v>
      </c>
      <c r="C619" s="29" t="s">
        <v>13</v>
      </c>
      <c r="D619" s="30">
        <v>1500</v>
      </c>
      <c r="E619" s="29">
        <v>0</v>
      </c>
      <c r="F619" s="28">
        <f t="shared" si="43"/>
        <v>1500</v>
      </c>
      <c r="G619">
        <f t="shared" si="44"/>
        <v>2026</v>
      </c>
      <c r="H619">
        <f t="shared" si="45"/>
        <v>5</v>
      </c>
      <c r="I619">
        <f t="shared" si="46"/>
        <v>2</v>
      </c>
    </row>
    <row r="620" spans="1:9" x14ac:dyDescent="0.25">
      <c r="A620" s="29" t="s">
        <v>111</v>
      </c>
      <c r="B620" s="29" t="s">
        <v>14</v>
      </c>
      <c r="C620" s="29" t="s">
        <v>13</v>
      </c>
      <c r="D620" s="30">
        <v>0</v>
      </c>
      <c r="E620" s="29">
        <v>1500</v>
      </c>
      <c r="F620" s="28">
        <f t="shared" si="43"/>
        <v>-1500</v>
      </c>
      <c r="G620">
        <f t="shared" si="44"/>
        <v>2026</v>
      </c>
      <c r="H620">
        <f t="shared" si="45"/>
        <v>5</v>
      </c>
      <c r="I620">
        <f t="shared" si="46"/>
        <v>2</v>
      </c>
    </row>
    <row r="621" spans="1:9" x14ac:dyDescent="0.25">
      <c r="A621" s="29" t="s">
        <v>111</v>
      </c>
      <c r="B621" s="29" t="s">
        <v>14</v>
      </c>
      <c r="C621" s="29" t="s">
        <v>13</v>
      </c>
      <c r="D621" s="30">
        <v>0</v>
      </c>
      <c r="E621" s="29">
        <v>2932.5</v>
      </c>
      <c r="F621" s="28">
        <f t="shared" si="43"/>
        <v>-2932.5</v>
      </c>
      <c r="G621">
        <f t="shared" si="44"/>
        <v>2026</v>
      </c>
      <c r="H621">
        <f t="shared" si="45"/>
        <v>5</v>
      </c>
      <c r="I621">
        <f t="shared" si="46"/>
        <v>2</v>
      </c>
    </row>
    <row r="622" spans="1:9" x14ac:dyDescent="0.25">
      <c r="A622" s="29" t="s">
        <v>111</v>
      </c>
      <c r="B622" s="29" t="s">
        <v>14</v>
      </c>
      <c r="C622" s="29" t="s">
        <v>13</v>
      </c>
      <c r="D622" s="30">
        <v>0</v>
      </c>
      <c r="E622" s="29">
        <v>3240.61</v>
      </c>
      <c r="F622" s="28">
        <f t="shared" si="43"/>
        <v>-3240.61</v>
      </c>
      <c r="G622">
        <f t="shared" si="44"/>
        <v>2026</v>
      </c>
      <c r="H622">
        <f t="shared" si="45"/>
        <v>5</v>
      </c>
      <c r="I622">
        <f t="shared" si="46"/>
        <v>2</v>
      </c>
    </row>
    <row r="623" spans="1:9" x14ac:dyDescent="0.25">
      <c r="A623" s="29" t="s">
        <v>111</v>
      </c>
      <c r="B623" s="29" t="s">
        <v>14</v>
      </c>
      <c r="C623" s="29" t="s">
        <v>13</v>
      </c>
      <c r="D623" s="30">
        <v>0</v>
      </c>
      <c r="E623" s="29">
        <v>19450.57</v>
      </c>
      <c r="F623" s="28">
        <f t="shared" si="43"/>
        <v>-19450.57</v>
      </c>
      <c r="G623">
        <f t="shared" si="44"/>
        <v>2026</v>
      </c>
      <c r="H623">
        <f t="shared" si="45"/>
        <v>5</v>
      </c>
      <c r="I623">
        <f t="shared" si="46"/>
        <v>2</v>
      </c>
    </row>
    <row r="624" spans="1:9" x14ac:dyDescent="0.25">
      <c r="A624" s="29" t="s">
        <v>111</v>
      </c>
      <c r="B624" s="29" t="s">
        <v>14</v>
      </c>
      <c r="C624" s="29" t="s">
        <v>13</v>
      </c>
      <c r="D624" s="30">
        <v>0</v>
      </c>
      <c r="E624" s="29">
        <v>7385.77</v>
      </c>
      <c r="F624" s="28">
        <f t="shared" si="43"/>
        <v>-7385.77</v>
      </c>
      <c r="G624">
        <f t="shared" si="44"/>
        <v>2026</v>
      </c>
      <c r="H624">
        <f t="shared" si="45"/>
        <v>5</v>
      </c>
      <c r="I624">
        <f t="shared" si="46"/>
        <v>2</v>
      </c>
    </row>
    <row r="625" spans="1:9" x14ac:dyDescent="0.25">
      <c r="A625" s="29" t="s">
        <v>111</v>
      </c>
      <c r="B625" s="29" t="s">
        <v>14</v>
      </c>
      <c r="C625" s="29" t="s">
        <v>13</v>
      </c>
      <c r="D625" s="30">
        <v>0</v>
      </c>
      <c r="E625" s="29">
        <v>1224</v>
      </c>
      <c r="F625" s="28">
        <f t="shared" si="43"/>
        <v>-1224</v>
      </c>
      <c r="G625">
        <f t="shared" si="44"/>
        <v>2026</v>
      </c>
      <c r="H625">
        <f t="shared" si="45"/>
        <v>5</v>
      </c>
      <c r="I625">
        <f t="shared" si="46"/>
        <v>2</v>
      </c>
    </row>
    <row r="626" spans="1:9" x14ac:dyDescent="0.25">
      <c r="A626" s="29" t="s">
        <v>111</v>
      </c>
      <c r="B626" s="29" t="s">
        <v>14</v>
      </c>
      <c r="C626" s="29" t="s">
        <v>21</v>
      </c>
      <c r="D626" s="30">
        <v>0</v>
      </c>
      <c r="E626" s="29">
        <v>31772</v>
      </c>
      <c r="F626" s="28">
        <f t="shared" si="43"/>
        <v>-31772</v>
      </c>
      <c r="G626">
        <f t="shared" si="44"/>
        <v>2026</v>
      </c>
      <c r="H626">
        <f t="shared" si="45"/>
        <v>5</v>
      </c>
      <c r="I626">
        <f t="shared" si="46"/>
        <v>2</v>
      </c>
    </row>
    <row r="627" spans="1:9" x14ac:dyDescent="0.25">
      <c r="A627" s="29" t="s">
        <v>111</v>
      </c>
      <c r="B627" s="29" t="s">
        <v>14</v>
      </c>
      <c r="C627" s="29" t="s">
        <v>20</v>
      </c>
      <c r="D627" s="30">
        <v>0</v>
      </c>
      <c r="E627" s="29">
        <v>11968</v>
      </c>
      <c r="F627" s="28">
        <f t="shared" si="43"/>
        <v>-11968</v>
      </c>
      <c r="G627">
        <f t="shared" si="44"/>
        <v>2026</v>
      </c>
      <c r="H627">
        <f t="shared" si="45"/>
        <v>5</v>
      </c>
      <c r="I627">
        <f t="shared" si="46"/>
        <v>2</v>
      </c>
    </row>
    <row r="628" spans="1:9" x14ac:dyDescent="0.25">
      <c r="A628" s="29" t="s">
        <v>111</v>
      </c>
      <c r="B628" s="29" t="s">
        <v>14</v>
      </c>
      <c r="C628" s="29" t="s">
        <v>13</v>
      </c>
      <c r="D628" s="30">
        <v>0</v>
      </c>
      <c r="E628" s="29">
        <v>3719.25</v>
      </c>
      <c r="F628" s="28">
        <f t="shared" si="43"/>
        <v>-3719.25</v>
      </c>
      <c r="G628">
        <f t="shared" si="44"/>
        <v>2026</v>
      </c>
      <c r="H628">
        <f t="shared" si="45"/>
        <v>5</v>
      </c>
      <c r="I628">
        <f t="shared" si="46"/>
        <v>2</v>
      </c>
    </row>
    <row r="629" spans="1:9" x14ac:dyDescent="0.25">
      <c r="A629" s="29" t="s">
        <v>111</v>
      </c>
      <c r="B629" s="29" t="s">
        <v>14</v>
      </c>
      <c r="C629" s="29" t="s">
        <v>13</v>
      </c>
      <c r="D629" s="30">
        <v>0</v>
      </c>
      <c r="E629" s="29">
        <v>4725</v>
      </c>
      <c r="F629" s="28">
        <f t="shared" si="43"/>
        <v>-4725</v>
      </c>
      <c r="G629">
        <f t="shared" si="44"/>
        <v>2026</v>
      </c>
      <c r="H629">
        <f t="shared" si="45"/>
        <v>5</v>
      </c>
      <c r="I629">
        <f t="shared" si="46"/>
        <v>2</v>
      </c>
    </row>
    <row r="630" spans="1:9" x14ac:dyDescent="0.25">
      <c r="A630" s="29" t="s">
        <v>111</v>
      </c>
      <c r="B630" s="29" t="s">
        <v>14</v>
      </c>
      <c r="C630" s="29" t="s">
        <v>13</v>
      </c>
      <c r="D630" s="30">
        <v>0</v>
      </c>
      <c r="E630" s="29">
        <v>866.25</v>
      </c>
      <c r="F630" s="28">
        <f t="shared" si="43"/>
        <v>-866.25</v>
      </c>
      <c r="G630">
        <f t="shared" si="44"/>
        <v>2026</v>
      </c>
      <c r="H630">
        <f t="shared" si="45"/>
        <v>5</v>
      </c>
      <c r="I630">
        <f t="shared" si="46"/>
        <v>2</v>
      </c>
    </row>
    <row r="631" spans="1:9" x14ac:dyDescent="0.25">
      <c r="A631" s="29" t="s">
        <v>111</v>
      </c>
      <c r="B631" s="29" t="s">
        <v>14</v>
      </c>
      <c r="C631" s="29" t="s">
        <v>13</v>
      </c>
      <c r="D631" s="30">
        <v>0</v>
      </c>
      <c r="E631" s="29">
        <v>1065</v>
      </c>
      <c r="F631" s="28">
        <f t="shared" si="43"/>
        <v>-1065</v>
      </c>
      <c r="G631">
        <f t="shared" si="44"/>
        <v>2026</v>
      </c>
      <c r="H631">
        <f t="shared" si="45"/>
        <v>5</v>
      </c>
      <c r="I631">
        <f t="shared" si="46"/>
        <v>2</v>
      </c>
    </row>
    <row r="632" spans="1:9" x14ac:dyDescent="0.25">
      <c r="A632" s="29" t="s">
        <v>111</v>
      </c>
      <c r="B632" s="29" t="s">
        <v>14</v>
      </c>
      <c r="C632" s="29" t="s">
        <v>13</v>
      </c>
      <c r="D632" s="30">
        <v>0</v>
      </c>
      <c r="E632" s="29">
        <v>1500</v>
      </c>
      <c r="F632" s="28">
        <f t="shared" si="43"/>
        <v>-1500</v>
      </c>
      <c r="G632">
        <f t="shared" si="44"/>
        <v>2026</v>
      </c>
      <c r="H632">
        <f t="shared" si="45"/>
        <v>5</v>
      </c>
      <c r="I632">
        <f t="shared" si="46"/>
        <v>2</v>
      </c>
    </row>
    <row r="633" spans="1:9" x14ac:dyDescent="0.25">
      <c r="A633" s="29" t="s">
        <v>111</v>
      </c>
      <c r="B633" s="29" t="s">
        <v>14</v>
      </c>
      <c r="C633" s="29" t="s">
        <v>18</v>
      </c>
      <c r="D633" s="30">
        <v>0</v>
      </c>
      <c r="E633" s="29">
        <v>368</v>
      </c>
      <c r="F633" s="28">
        <f t="shared" si="43"/>
        <v>-368</v>
      </c>
      <c r="G633">
        <f t="shared" si="44"/>
        <v>2026</v>
      </c>
      <c r="H633">
        <f t="shared" si="45"/>
        <v>5</v>
      </c>
      <c r="I633">
        <f t="shared" si="46"/>
        <v>2</v>
      </c>
    </row>
    <row r="634" spans="1:9" x14ac:dyDescent="0.25">
      <c r="A634" s="29" t="s">
        <v>111</v>
      </c>
      <c r="B634" s="29" t="s">
        <v>14</v>
      </c>
      <c r="C634" s="29" t="s">
        <v>13</v>
      </c>
      <c r="D634" s="30">
        <v>0</v>
      </c>
      <c r="E634" s="29">
        <v>126000</v>
      </c>
      <c r="F634" s="28">
        <f t="shared" si="43"/>
        <v>-126000</v>
      </c>
      <c r="G634">
        <f t="shared" si="44"/>
        <v>2026</v>
      </c>
      <c r="H634">
        <f t="shared" si="45"/>
        <v>5</v>
      </c>
      <c r="I634">
        <f t="shared" si="46"/>
        <v>2</v>
      </c>
    </row>
    <row r="635" spans="1:9" x14ac:dyDescent="0.25">
      <c r="A635" s="29" t="s">
        <v>111</v>
      </c>
      <c r="B635" s="29" t="s">
        <v>14</v>
      </c>
      <c r="C635" s="29" t="s">
        <v>36</v>
      </c>
      <c r="D635" s="30">
        <v>0</v>
      </c>
      <c r="E635" s="29">
        <v>2975</v>
      </c>
      <c r="F635" s="28">
        <f t="shared" si="43"/>
        <v>-2975</v>
      </c>
      <c r="G635">
        <f t="shared" si="44"/>
        <v>2026</v>
      </c>
      <c r="H635">
        <f t="shared" si="45"/>
        <v>5</v>
      </c>
      <c r="I635">
        <f t="shared" si="46"/>
        <v>2</v>
      </c>
    </row>
    <row r="636" spans="1:9" x14ac:dyDescent="0.25">
      <c r="A636" s="29" t="s">
        <v>112</v>
      </c>
      <c r="B636" s="29" t="s">
        <v>14</v>
      </c>
      <c r="C636" s="29" t="s">
        <v>18</v>
      </c>
      <c r="D636" s="30">
        <v>0</v>
      </c>
      <c r="E636" s="29">
        <v>2592</v>
      </c>
      <c r="F636" s="28">
        <f t="shared" si="43"/>
        <v>-2592</v>
      </c>
      <c r="G636">
        <f t="shared" si="44"/>
        <v>2026</v>
      </c>
      <c r="H636">
        <f t="shared" si="45"/>
        <v>5</v>
      </c>
      <c r="I636">
        <f t="shared" si="46"/>
        <v>2</v>
      </c>
    </row>
    <row r="637" spans="1:9" x14ac:dyDescent="0.25">
      <c r="A637" s="29" t="s">
        <v>113</v>
      </c>
      <c r="B637" s="29" t="s">
        <v>10</v>
      </c>
      <c r="C637" s="29" t="s">
        <v>12</v>
      </c>
      <c r="D637" s="30">
        <v>12174.85</v>
      </c>
      <c r="E637" s="29">
        <v>0</v>
      </c>
      <c r="F637" s="28">
        <f t="shared" si="43"/>
        <v>12174.85</v>
      </c>
      <c r="G637">
        <f t="shared" si="44"/>
        <v>2026</v>
      </c>
      <c r="H637">
        <f t="shared" si="45"/>
        <v>5</v>
      </c>
      <c r="I637">
        <f t="shared" si="46"/>
        <v>2</v>
      </c>
    </row>
    <row r="638" spans="1:9" x14ac:dyDescent="0.25">
      <c r="A638" s="29" t="s">
        <v>113</v>
      </c>
      <c r="B638" s="29" t="s">
        <v>10</v>
      </c>
      <c r="C638" s="29" t="s">
        <v>11</v>
      </c>
      <c r="D638" s="30">
        <v>20139</v>
      </c>
      <c r="E638" s="29">
        <v>0</v>
      </c>
      <c r="F638" s="28">
        <f t="shared" si="43"/>
        <v>20139</v>
      </c>
      <c r="G638">
        <f t="shared" si="44"/>
        <v>2026</v>
      </c>
      <c r="H638">
        <f t="shared" si="45"/>
        <v>5</v>
      </c>
      <c r="I638">
        <f t="shared" si="46"/>
        <v>2</v>
      </c>
    </row>
    <row r="639" spans="1:9" x14ac:dyDescent="0.25">
      <c r="A639" s="29" t="s">
        <v>113</v>
      </c>
      <c r="B639" s="29" t="s">
        <v>10</v>
      </c>
      <c r="C639" s="29" t="s">
        <v>11</v>
      </c>
      <c r="D639" s="30">
        <v>28243.599999999999</v>
      </c>
      <c r="E639" s="29">
        <v>0</v>
      </c>
      <c r="F639" s="28">
        <f t="shared" si="43"/>
        <v>28243.599999999999</v>
      </c>
      <c r="G639">
        <f t="shared" si="44"/>
        <v>2026</v>
      </c>
      <c r="H639">
        <f t="shared" si="45"/>
        <v>5</v>
      </c>
      <c r="I639">
        <f t="shared" si="46"/>
        <v>2</v>
      </c>
    </row>
    <row r="640" spans="1:9" x14ac:dyDescent="0.25">
      <c r="A640" s="29" t="s">
        <v>113</v>
      </c>
      <c r="B640" s="29" t="s">
        <v>10</v>
      </c>
      <c r="C640" s="29" t="s">
        <v>11</v>
      </c>
      <c r="D640" s="30">
        <v>34130</v>
      </c>
      <c r="E640" s="29">
        <v>0</v>
      </c>
      <c r="F640" s="28">
        <f t="shared" si="43"/>
        <v>34130</v>
      </c>
      <c r="G640">
        <f t="shared" si="44"/>
        <v>2026</v>
      </c>
      <c r="H640">
        <f t="shared" si="45"/>
        <v>5</v>
      </c>
      <c r="I640">
        <f t="shared" si="46"/>
        <v>2</v>
      </c>
    </row>
    <row r="641" spans="1:9" x14ac:dyDescent="0.25">
      <c r="A641" s="29" t="s">
        <v>113</v>
      </c>
      <c r="B641" s="29" t="s">
        <v>10</v>
      </c>
      <c r="C641" s="29" t="s">
        <v>11</v>
      </c>
      <c r="D641" s="30">
        <v>91213</v>
      </c>
      <c r="E641" s="29">
        <v>0</v>
      </c>
      <c r="F641" s="28">
        <f t="shared" si="43"/>
        <v>91213</v>
      </c>
      <c r="G641">
        <f t="shared" si="44"/>
        <v>2026</v>
      </c>
      <c r="H641">
        <f t="shared" si="45"/>
        <v>5</v>
      </c>
      <c r="I641">
        <f t="shared" si="46"/>
        <v>2</v>
      </c>
    </row>
    <row r="642" spans="1:9" x14ac:dyDescent="0.25">
      <c r="A642" s="29" t="s">
        <v>113</v>
      </c>
      <c r="B642" s="29" t="s">
        <v>10</v>
      </c>
      <c r="C642" s="29" t="s">
        <v>11</v>
      </c>
      <c r="D642" s="30">
        <v>23254.1</v>
      </c>
      <c r="E642" s="29">
        <v>0</v>
      </c>
      <c r="F642" s="28">
        <f t="shared" si="43"/>
        <v>23254.1</v>
      </c>
      <c r="G642">
        <f t="shared" si="44"/>
        <v>2026</v>
      </c>
      <c r="H642">
        <f t="shared" si="45"/>
        <v>5</v>
      </c>
      <c r="I642">
        <f t="shared" si="46"/>
        <v>2</v>
      </c>
    </row>
    <row r="643" spans="1:9" x14ac:dyDescent="0.25">
      <c r="A643" s="29" t="s">
        <v>113</v>
      </c>
      <c r="B643" s="29" t="s">
        <v>10</v>
      </c>
      <c r="C643" s="29" t="s">
        <v>11</v>
      </c>
      <c r="D643" s="30">
        <v>33000</v>
      </c>
      <c r="E643" s="29">
        <v>0</v>
      </c>
      <c r="F643" s="28">
        <f t="shared" si="43"/>
        <v>33000</v>
      </c>
      <c r="G643">
        <f t="shared" si="44"/>
        <v>2026</v>
      </c>
      <c r="H643">
        <f t="shared" si="45"/>
        <v>5</v>
      </c>
      <c r="I643">
        <f t="shared" si="46"/>
        <v>2</v>
      </c>
    </row>
    <row r="644" spans="1:9" x14ac:dyDescent="0.25">
      <c r="A644" s="29" t="s">
        <v>113</v>
      </c>
      <c r="B644" s="29" t="s">
        <v>10</v>
      </c>
      <c r="C644" s="29" t="s">
        <v>11</v>
      </c>
      <c r="D644" s="30">
        <v>189037.73</v>
      </c>
      <c r="E644" s="29">
        <v>0</v>
      </c>
      <c r="F644" s="28">
        <f t="shared" si="43"/>
        <v>189037.73</v>
      </c>
      <c r="G644">
        <f t="shared" si="44"/>
        <v>2026</v>
      </c>
      <c r="H644">
        <f t="shared" si="45"/>
        <v>5</v>
      </c>
      <c r="I644">
        <f t="shared" si="46"/>
        <v>2</v>
      </c>
    </row>
    <row r="645" spans="1:9" x14ac:dyDescent="0.25">
      <c r="A645" s="29" t="s">
        <v>113</v>
      </c>
      <c r="B645" s="29" t="s">
        <v>10</v>
      </c>
      <c r="C645" s="29" t="s">
        <v>13</v>
      </c>
      <c r="D645" s="30">
        <v>4236.54</v>
      </c>
      <c r="E645" s="29">
        <v>0</v>
      </c>
      <c r="F645" s="28">
        <f t="shared" si="43"/>
        <v>4236.54</v>
      </c>
      <c r="G645">
        <f t="shared" si="44"/>
        <v>2026</v>
      </c>
      <c r="H645">
        <f t="shared" si="45"/>
        <v>5</v>
      </c>
      <c r="I645">
        <f t="shared" si="46"/>
        <v>2</v>
      </c>
    </row>
    <row r="646" spans="1:9" x14ac:dyDescent="0.25">
      <c r="A646" s="29" t="s">
        <v>113</v>
      </c>
      <c r="B646" s="29" t="s">
        <v>10</v>
      </c>
      <c r="C646" s="29" t="s">
        <v>13</v>
      </c>
      <c r="D646" s="30">
        <v>3020.85</v>
      </c>
      <c r="E646" s="29">
        <v>0</v>
      </c>
      <c r="F646" s="28">
        <f t="shared" si="43"/>
        <v>3020.85</v>
      </c>
      <c r="G646">
        <f t="shared" si="44"/>
        <v>2026</v>
      </c>
      <c r="H646">
        <f t="shared" si="45"/>
        <v>5</v>
      </c>
      <c r="I646">
        <f t="shared" si="46"/>
        <v>2</v>
      </c>
    </row>
    <row r="647" spans="1:9" x14ac:dyDescent="0.25">
      <c r="A647" s="29" t="s">
        <v>113</v>
      </c>
      <c r="B647" s="29" t="s">
        <v>10</v>
      </c>
      <c r="C647" s="29" t="s">
        <v>13</v>
      </c>
      <c r="D647" s="30">
        <v>5119.5</v>
      </c>
      <c r="E647" s="29">
        <v>0</v>
      </c>
      <c r="F647" s="28">
        <f t="shared" si="43"/>
        <v>5119.5</v>
      </c>
      <c r="G647">
        <f t="shared" si="44"/>
        <v>2026</v>
      </c>
      <c r="H647">
        <f t="shared" si="45"/>
        <v>5</v>
      </c>
      <c r="I647">
        <f t="shared" si="46"/>
        <v>2</v>
      </c>
    </row>
    <row r="648" spans="1:9" x14ac:dyDescent="0.25">
      <c r="A648" s="29" t="s">
        <v>113</v>
      </c>
      <c r="B648" s="29" t="s">
        <v>10</v>
      </c>
      <c r="C648" s="29" t="s">
        <v>13</v>
      </c>
      <c r="D648" s="30">
        <v>13681.95</v>
      </c>
      <c r="E648" s="29">
        <v>0</v>
      </c>
      <c r="F648" s="28">
        <f t="shared" si="43"/>
        <v>13681.95</v>
      </c>
      <c r="G648">
        <f t="shared" si="44"/>
        <v>2026</v>
      </c>
      <c r="H648">
        <f t="shared" si="45"/>
        <v>5</v>
      </c>
      <c r="I648">
        <f t="shared" si="46"/>
        <v>2</v>
      </c>
    </row>
    <row r="649" spans="1:9" x14ac:dyDescent="0.25">
      <c r="A649" s="29" t="s">
        <v>113</v>
      </c>
      <c r="B649" s="29" t="s">
        <v>10</v>
      </c>
      <c r="C649" s="29" t="s">
        <v>13</v>
      </c>
      <c r="D649" s="30">
        <v>3488.11</v>
      </c>
      <c r="E649" s="29">
        <v>0</v>
      </c>
      <c r="F649" s="28">
        <f t="shared" si="43"/>
        <v>3488.11</v>
      </c>
      <c r="G649">
        <f t="shared" si="44"/>
        <v>2026</v>
      </c>
      <c r="H649">
        <f t="shared" si="45"/>
        <v>5</v>
      </c>
      <c r="I649">
        <f t="shared" si="46"/>
        <v>2</v>
      </c>
    </row>
    <row r="650" spans="1:9" x14ac:dyDescent="0.25">
      <c r="A650" s="29" t="s">
        <v>113</v>
      </c>
      <c r="B650" s="29" t="s">
        <v>10</v>
      </c>
      <c r="C650" s="29" t="s">
        <v>13</v>
      </c>
      <c r="D650" s="30">
        <v>4950</v>
      </c>
      <c r="E650" s="29">
        <v>0</v>
      </c>
      <c r="F650" s="28">
        <f t="shared" ref="F650:F713" si="47">D650-E650</f>
        <v>4950</v>
      </c>
      <c r="G650">
        <f t="shared" ref="G650:G713" si="48">YEAR(A650)</f>
        <v>2026</v>
      </c>
      <c r="H650">
        <f t="shared" ref="H650:H713" si="49">MONTH(A650)</f>
        <v>5</v>
      </c>
      <c r="I650">
        <f t="shared" ref="I650:I713" si="50">ROUNDUP(H650/3,0)</f>
        <v>2</v>
      </c>
    </row>
    <row r="651" spans="1:9" x14ac:dyDescent="0.25">
      <c r="A651" s="29" t="s">
        <v>113</v>
      </c>
      <c r="B651" s="29" t="s">
        <v>10</v>
      </c>
      <c r="C651" s="29" t="s">
        <v>13</v>
      </c>
      <c r="D651" s="30">
        <v>28355.65</v>
      </c>
      <c r="E651" s="29">
        <v>0</v>
      </c>
      <c r="F651" s="28">
        <f t="shared" si="47"/>
        <v>28355.65</v>
      </c>
      <c r="G651">
        <f t="shared" si="48"/>
        <v>2026</v>
      </c>
      <c r="H651">
        <f t="shared" si="49"/>
        <v>5</v>
      </c>
      <c r="I651">
        <f t="shared" si="50"/>
        <v>2</v>
      </c>
    </row>
    <row r="652" spans="1:9" x14ac:dyDescent="0.25">
      <c r="A652" s="29" t="s">
        <v>113</v>
      </c>
      <c r="B652" s="29" t="s">
        <v>14</v>
      </c>
      <c r="C652" s="29" t="s">
        <v>13</v>
      </c>
      <c r="D652" s="30">
        <v>0</v>
      </c>
      <c r="E652" s="29">
        <v>4236.54</v>
      </c>
      <c r="F652" s="28">
        <f t="shared" si="47"/>
        <v>-4236.54</v>
      </c>
      <c r="G652">
        <f t="shared" si="48"/>
        <v>2026</v>
      </c>
      <c r="H652">
        <f t="shared" si="49"/>
        <v>5</v>
      </c>
      <c r="I652">
        <f t="shared" si="50"/>
        <v>2</v>
      </c>
    </row>
    <row r="653" spans="1:9" x14ac:dyDescent="0.25">
      <c r="A653" s="29" t="s">
        <v>113</v>
      </c>
      <c r="B653" s="29" t="s">
        <v>14</v>
      </c>
      <c r="C653" s="29" t="s">
        <v>13</v>
      </c>
      <c r="D653" s="30">
        <v>0</v>
      </c>
      <c r="E653" s="29">
        <v>3020.85</v>
      </c>
      <c r="F653" s="28">
        <f t="shared" si="47"/>
        <v>-3020.85</v>
      </c>
      <c r="G653">
        <f t="shared" si="48"/>
        <v>2026</v>
      </c>
      <c r="H653">
        <f t="shared" si="49"/>
        <v>5</v>
      </c>
      <c r="I653">
        <f t="shared" si="50"/>
        <v>2</v>
      </c>
    </row>
    <row r="654" spans="1:9" x14ac:dyDescent="0.25">
      <c r="A654" s="29" t="s">
        <v>113</v>
      </c>
      <c r="B654" s="29" t="s">
        <v>14</v>
      </c>
      <c r="C654" s="29" t="s">
        <v>19</v>
      </c>
      <c r="D654" s="30">
        <v>0</v>
      </c>
      <c r="E654" s="29">
        <v>53040</v>
      </c>
      <c r="F654" s="28">
        <f t="shared" si="47"/>
        <v>-53040</v>
      </c>
      <c r="G654">
        <f t="shared" si="48"/>
        <v>2026</v>
      </c>
      <c r="H654">
        <f t="shared" si="49"/>
        <v>5</v>
      </c>
      <c r="I654">
        <f t="shared" si="50"/>
        <v>2</v>
      </c>
    </row>
    <row r="655" spans="1:9" x14ac:dyDescent="0.25">
      <c r="A655" s="29" t="s">
        <v>113</v>
      </c>
      <c r="B655" s="29" t="s">
        <v>14</v>
      </c>
      <c r="C655" s="29" t="s">
        <v>17</v>
      </c>
      <c r="D655" s="30">
        <v>0</v>
      </c>
      <c r="E655" s="29">
        <v>1.1599999999999999</v>
      </c>
      <c r="F655" s="28">
        <f t="shared" si="47"/>
        <v>-1.1599999999999999</v>
      </c>
      <c r="G655">
        <f t="shared" si="48"/>
        <v>2026</v>
      </c>
      <c r="H655">
        <f t="shared" si="49"/>
        <v>5</v>
      </c>
      <c r="I655">
        <f t="shared" si="50"/>
        <v>2</v>
      </c>
    </row>
    <row r="656" spans="1:9" x14ac:dyDescent="0.25">
      <c r="A656" s="29" t="s">
        <v>113</v>
      </c>
      <c r="B656" s="29" t="s">
        <v>14</v>
      </c>
      <c r="C656" s="29" t="s">
        <v>13</v>
      </c>
      <c r="D656" s="30">
        <v>0</v>
      </c>
      <c r="E656" s="29">
        <v>5119.5</v>
      </c>
      <c r="F656" s="28">
        <f t="shared" si="47"/>
        <v>-5119.5</v>
      </c>
      <c r="G656">
        <f t="shared" si="48"/>
        <v>2026</v>
      </c>
      <c r="H656">
        <f t="shared" si="49"/>
        <v>5</v>
      </c>
      <c r="I656">
        <f t="shared" si="50"/>
        <v>2</v>
      </c>
    </row>
    <row r="657" spans="1:9" x14ac:dyDescent="0.25">
      <c r="A657" s="29" t="s">
        <v>113</v>
      </c>
      <c r="B657" s="29" t="s">
        <v>14</v>
      </c>
      <c r="C657" s="29" t="s">
        <v>13</v>
      </c>
      <c r="D657" s="30">
        <v>0</v>
      </c>
      <c r="E657" s="29">
        <v>13681.95</v>
      </c>
      <c r="F657" s="28">
        <f t="shared" si="47"/>
        <v>-13681.95</v>
      </c>
      <c r="G657">
        <f t="shared" si="48"/>
        <v>2026</v>
      </c>
      <c r="H657">
        <f t="shared" si="49"/>
        <v>5</v>
      </c>
      <c r="I657">
        <f t="shared" si="50"/>
        <v>2</v>
      </c>
    </row>
    <row r="658" spans="1:9" x14ac:dyDescent="0.25">
      <c r="A658" s="29" t="s">
        <v>113</v>
      </c>
      <c r="B658" s="29" t="s">
        <v>14</v>
      </c>
      <c r="C658" s="29" t="s">
        <v>13</v>
      </c>
      <c r="D658" s="30">
        <v>0</v>
      </c>
      <c r="E658" s="29">
        <v>3488.11</v>
      </c>
      <c r="F658" s="28">
        <f t="shared" si="47"/>
        <v>-3488.11</v>
      </c>
      <c r="G658">
        <f t="shared" si="48"/>
        <v>2026</v>
      </c>
      <c r="H658">
        <f t="shared" si="49"/>
        <v>5</v>
      </c>
      <c r="I658">
        <f t="shared" si="50"/>
        <v>2</v>
      </c>
    </row>
    <row r="659" spans="1:9" x14ac:dyDescent="0.25">
      <c r="A659" s="29" t="s">
        <v>113</v>
      </c>
      <c r="B659" s="29" t="s">
        <v>14</v>
      </c>
      <c r="C659" s="29" t="s">
        <v>13</v>
      </c>
      <c r="D659" s="30">
        <v>0</v>
      </c>
      <c r="E659" s="29">
        <v>4950</v>
      </c>
      <c r="F659" s="28">
        <f t="shared" si="47"/>
        <v>-4950</v>
      </c>
      <c r="G659">
        <f t="shared" si="48"/>
        <v>2026</v>
      </c>
      <c r="H659">
        <f t="shared" si="49"/>
        <v>5</v>
      </c>
      <c r="I659">
        <f t="shared" si="50"/>
        <v>2</v>
      </c>
    </row>
    <row r="660" spans="1:9" x14ac:dyDescent="0.25">
      <c r="A660" s="29" t="s">
        <v>113</v>
      </c>
      <c r="B660" s="29" t="s">
        <v>14</v>
      </c>
      <c r="C660" s="29" t="s">
        <v>13</v>
      </c>
      <c r="D660" s="30">
        <v>0</v>
      </c>
      <c r="E660" s="29">
        <v>28355.65</v>
      </c>
      <c r="F660" s="28">
        <f t="shared" si="47"/>
        <v>-28355.65</v>
      </c>
      <c r="G660">
        <f t="shared" si="48"/>
        <v>2026</v>
      </c>
      <c r="H660">
        <f t="shared" si="49"/>
        <v>5</v>
      </c>
      <c r="I660">
        <f t="shared" si="50"/>
        <v>2</v>
      </c>
    </row>
    <row r="661" spans="1:9" x14ac:dyDescent="0.25">
      <c r="A661" s="29" t="s">
        <v>113</v>
      </c>
      <c r="B661" s="29" t="s">
        <v>14</v>
      </c>
      <c r="C661" s="29" t="s">
        <v>20</v>
      </c>
      <c r="D661" s="30">
        <v>0</v>
      </c>
      <c r="E661" s="29">
        <v>196000</v>
      </c>
      <c r="F661" s="28">
        <f t="shared" si="47"/>
        <v>-196000</v>
      </c>
      <c r="G661">
        <f t="shared" si="48"/>
        <v>2026</v>
      </c>
      <c r="H661">
        <f t="shared" si="49"/>
        <v>5</v>
      </c>
      <c r="I661">
        <f t="shared" si="50"/>
        <v>2</v>
      </c>
    </row>
    <row r="662" spans="1:9" x14ac:dyDescent="0.25">
      <c r="A662" s="29" t="s">
        <v>113</v>
      </c>
      <c r="B662" s="29" t="s">
        <v>14</v>
      </c>
      <c r="C662" s="29" t="s">
        <v>114</v>
      </c>
      <c r="D662" s="30">
        <v>0</v>
      </c>
      <c r="E662" s="29">
        <v>170000</v>
      </c>
      <c r="F662" s="28">
        <f t="shared" si="47"/>
        <v>-170000</v>
      </c>
      <c r="G662">
        <f t="shared" si="48"/>
        <v>2026</v>
      </c>
      <c r="H662">
        <f t="shared" si="49"/>
        <v>5</v>
      </c>
      <c r="I662">
        <f t="shared" si="50"/>
        <v>2</v>
      </c>
    </row>
    <row r="663" spans="1:9" x14ac:dyDescent="0.25">
      <c r="A663" s="29" t="s">
        <v>115</v>
      </c>
      <c r="B663" s="29" t="s">
        <v>10</v>
      </c>
      <c r="C663" s="29" t="s">
        <v>11</v>
      </c>
      <c r="D663" s="30">
        <v>10315</v>
      </c>
      <c r="E663" s="29">
        <v>0</v>
      </c>
      <c r="F663" s="28">
        <f t="shared" si="47"/>
        <v>10315</v>
      </c>
      <c r="G663">
        <f t="shared" si="48"/>
        <v>2026</v>
      </c>
      <c r="H663">
        <f t="shared" si="49"/>
        <v>5</v>
      </c>
      <c r="I663">
        <f t="shared" si="50"/>
        <v>2</v>
      </c>
    </row>
    <row r="664" spans="1:9" x14ac:dyDescent="0.25">
      <c r="A664" s="29" t="s">
        <v>115</v>
      </c>
      <c r="B664" s="29" t="s">
        <v>10</v>
      </c>
      <c r="C664" s="29" t="s">
        <v>11</v>
      </c>
      <c r="D664" s="30">
        <v>6938.4</v>
      </c>
      <c r="E664" s="29">
        <v>0</v>
      </c>
      <c r="F664" s="28">
        <f t="shared" si="47"/>
        <v>6938.4</v>
      </c>
      <c r="G664">
        <f t="shared" si="48"/>
        <v>2026</v>
      </c>
      <c r="H664">
        <f t="shared" si="49"/>
        <v>5</v>
      </c>
      <c r="I664">
        <f t="shared" si="50"/>
        <v>2</v>
      </c>
    </row>
    <row r="665" spans="1:9" x14ac:dyDescent="0.25">
      <c r="A665" s="29" t="s">
        <v>115</v>
      </c>
      <c r="B665" s="29" t="s">
        <v>10</v>
      </c>
      <c r="C665" s="29" t="s">
        <v>11</v>
      </c>
      <c r="D665" s="30">
        <v>6000</v>
      </c>
      <c r="E665" s="29">
        <v>0</v>
      </c>
      <c r="F665" s="28">
        <f t="shared" si="47"/>
        <v>6000</v>
      </c>
      <c r="G665">
        <f t="shared" si="48"/>
        <v>2026</v>
      </c>
      <c r="H665">
        <f t="shared" si="49"/>
        <v>5</v>
      </c>
      <c r="I665">
        <f t="shared" si="50"/>
        <v>2</v>
      </c>
    </row>
    <row r="666" spans="1:9" x14ac:dyDescent="0.25">
      <c r="A666" s="29" t="s">
        <v>115</v>
      </c>
      <c r="B666" s="29" t="s">
        <v>10</v>
      </c>
      <c r="C666" s="29" t="s">
        <v>11</v>
      </c>
      <c r="D666" s="30">
        <v>5000</v>
      </c>
      <c r="E666" s="29">
        <v>0</v>
      </c>
      <c r="F666" s="28">
        <f t="shared" si="47"/>
        <v>5000</v>
      </c>
      <c r="G666">
        <f t="shared" si="48"/>
        <v>2026</v>
      </c>
      <c r="H666">
        <f t="shared" si="49"/>
        <v>5</v>
      </c>
      <c r="I666">
        <f t="shared" si="50"/>
        <v>2</v>
      </c>
    </row>
    <row r="667" spans="1:9" x14ac:dyDescent="0.25">
      <c r="A667" s="29" t="s">
        <v>115</v>
      </c>
      <c r="B667" s="29" t="s">
        <v>10</v>
      </c>
      <c r="C667" s="29" t="s">
        <v>13</v>
      </c>
      <c r="D667" s="30">
        <v>1547.25</v>
      </c>
      <c r="E667" s="29">
        <v>0</v>
      </c>
      <c r="F667" s="28">
        <f t="shared" si="47"/>
        <v>1547.25</v>
      </c>
      <c r="G667">
        <f t="shared" si="48"/>
        <v>2026</v>
      </c>
      <c r="H667">
        <f t="shared" si="49"/>
        <v>5</v>
      </c>
      <c r="I667">
        <f t="shared" si="50"/>
        <v>2</v>
      </c>
    </row>
    <row r="668" spans="1:9" x14ac:dyDescent="0.25">
      <c r="A668" s="29" t="s">
        <v>115</v>
      </c>
      <c r="B668" s="29" t="s">
        <v>10</v>
      </c>
      <c r="C668" s="29" t="s">
        <v>13</v>
      </c>
      <c r="D668" s="30">
        <v>1040.76</v>
      </c>
      <c r="E668" s="29">
        <v>0</v>
      </c>
      <c r="F668" s="28">
        <f t="shared" si="47"/>
        <v>1040.76</v>
      </c>
      <c r="G668">
        <f t="shared" si="48"/>
        <v>2026</v>
      </c>
      <c r="H668">
        <f t="shared" si="49"/>
        <v>5</v>
      </c>
      <c r="I668">
        <f t="shared" si="50"/>
        <v>2</v>
      </c>
    </row>
    <row r="669" spans="1:9" x14ac:dyDescent="0.25">
      <c r="A669" s="29" t="s">
        <v>115</v>
      </c>
      <c r="B669" s="29" t="s">
        <v>10</v>
      </c>
      <c r="C669" s="29" t="s">
        <v>13</v>
      </c>
      <c r="D669" s="30">
        <v>900</v>
      </c>
      <c r="E669" s="29">
        <v>0</v>
      </c>
      <c r="F669" s="28">
        <f t="shared" si="47"/>
        <v>900</v>
      </c>
      <c r="G669">
        <f t="shared" si="48"/>
        <v>2026</v>
      </c>
      <c r="H669">
        <f t="shared" si="49"/>
        <v>5</v>
      </c>
      <c r="I669">
        <f t="shared" si="50"/>
        <v>2</v>
      </c>
    </row>
    <row r="670" spans="1:9" x14ac:dyDescent="0.25">
      <c r="A670" s="29" t="s">
        <v>115</v>
      </c>
      <c r="B670" s="29" t="s">
        <v>10</v>
      </c>
      <c r="C670" s="29" t="s">
        <v>13</v>
      </c>
      <c r="D670" s="30">
        <v>750</v>
      </c>
      <c r="E670" s="29">
        <v>0</v>
      </c>
      <c r="F670" s="28">
        <f t="shared" si="47"/>
        <v>750</v>
      </c>
      <c r="G670">
        <f t="shared" si="48"/>
        <v>2026</v>
      </c>
      <c r="H670">
        <f t="shared" si="49"/>
        <v>5</v>
      </c>
      <c r="I670">
        <f t="shared" si="50"/>
        <v>2</v>
      </c>
    </row>
    <row r="671" spans="1:9" x14ac:dyDescent="0.25">
      <c r="A671" s="29" t="s">
        <v>115</v>
      </c>
      <c r="B671" s="29" t="s">
        <v>14</v>
      </c>
      <c r="C671" s="29" t="s">
        <v>18</v>
      </c>
      <c r="D671" s="30">
        <v>0</v>
      </c>
      <c r="E671" s="29">
        <v>1481.6</v>
      </c>
      <c r="F671" s="28">
        <f t="shared" si="47"/>
        <v>-1481.6</v>
      </c>
      <c r="G671">
        <f t="shared" si="48"/>
        <v>2026</v>
      </c>
      <c r="H671">
        <f t="shared" si="49"/>
        <v>5</v>
      </c>
      <c r="I671">
        <f t="shared" si="50"/>
        <v>2</v>
      </c>
    </row>
    <row r="672" spans="1:9" x14ac:dyDescent="0.25">
      <c r="A672" s="29" t="s">
        <v>115</v>
      </c>
      <c r="B672" s="29" t="s">
        <v>14</v>
      </c>
      <c r="C672" s="29" t="s">
        <v>13</v>
      </c>
      <c r="D672" s="30">
        <v>0</v>
      </c>
      <c r="E672" s="29">
        <v>1547.25</v>
      </c>
      <c r="F672" s="28">
        <f t="shared" si="47"/>
        <v>-1547.25</v>
      </c>
      <c r="G672">
        <f t="shared" si="48"/>
        <v>2026</v>
      </c>
      <c r="H672">
        <f t="shared" si="49"/>
        <v>5</v>
      </c>
      <c r="I672">
        <f t="shared" si="50"/>
        <v>2</v>
      </c>
    </row>
    <row r="673" spans="1:9" x14ac:dyDescent="0.25">
      <c r="A673" s="29" t="s">
        <v>115</v>
      </c>
      <c r="B673" s="29" t="s">
        <v>14</v>
      </c>
      <c r="C673" s="29" t="s">
        <v>13</v>
      </c>
      <c r="D673" s="30">
        <v>0</v>
      </c>
      <c r="E673" s="29">
        <v>1040.76</v>
      </c>
      <c r="F673" s="28">
        <f t="shared" si="47"/>
        <v>-1040.76</v>
      </c>
      <c r="G673">
        <f t="shared" si="48"/>
        <v>2026</v>
      </c>
      <c r="H673">
        <f t="shared" si="49"/>
        <v>5</v>
      </c>
      <c r="I673">
        <f t="shared" si="50"/>
        <v>2</v>
      </c>
    </row>
    <row r="674" spans="1:9" x14ac:dyDescent="0.25">
      <c r="A674" s="29" t="s">
        <v>115</v>
      </c>
      <c r="B674" s="29" t="s">
        <v>14</v>
      </c>
      <c r="C674" s="29" t="s">
        <v>13</v>
      </c>
      <c r="D674" s="30">
        <v>0</v>
      </c>
      <c r="E674" s="29">
        <v>900</v>
      </c>
      <c r="F674" s="28">
        <f t="shared" si="47"/>
        <v>-900</v>
      </c>
      <c r="G674">
        <f t="shared" si="48"/>
        <v>2026</v>
      </c>
      <c r="H674">
        <f t="shared" si="49"/>
        <v>5</v>
      </c>
      <c r="I674">
        <f t="shared" si="50"/>
        <v>2</v>
      </c>
    </row>
    <row r="675" spans="1:9" x14ac:dyDescent="0.25">
      <c r="A675" s="29" t="s">
        <v>115</v>
      </c>
      <c r="B675" s="29" t="s">
        <v>14</v>
      </c>
      <c r="C675" s="29" t="s">
        <v>13</v>
      </c>
      <c r="D675" s="30">
        <v>0</v>
      </c>
      <c r="E675" s="29">
        <v>750</v>
      </c>
      <c r="F675" s="28">
        <f t="shared" si="47"/>
        <v>-750</v>
      </c>
      <c r="G675">
        <f t="shared" si="48"/>
        <v>2026</v>
      </c>
      <c r="H675">
        <f t="shared" si="49"/>
        <v>5</v>
      </c>
      <c r="I675">
        <f t="shared" si="50"/>
        <v>2</v>
      </c>
    </row>
    <row r="676" spans="1:9" x14ac:dyDescent="0.25">
      <c r="A676" s="29" t="s">
        <v>116</v>
      </c>
      <c r="B676" s="29" t="s">
        <v>10</v>
      </c>
      <c r="C676" s="29" t="s">
        <v>12</v>
      </c>
      <c r="D676" s="30">
        <v>3181.34</v>
      </c>
      <c r="E676" s="29">
        <v>0</v>
      </c>
      <c r="F676" s="28">
        <f t="shared" si="47"/>
        <v>3181.34</v>
      </c>
      <c r="G676">
        <f t="shared" si="48"/>
        <v>2026</v>
      </c>
      <c r="H676">
        <f t="shared" si="49"/>
        <v>5</v>
      </c>
      <c r="I676">
        <f t="shared" si="50"/>
        <v>2</v>
      </c>
    </row>
    <row r="677" spans="1:9" x14ac:dyDescent="0.25">
      <c r="A677" s="29" t="s">
        <v>116</v>
      </c>
      <c r="B677" s="29" t="s">
        <v>10</v>
      </c>
      <c r="C677" s="29" t="s">
        <v>22</v>
      </c>
      <c r="D677" s="30">
        <v>27117.81</v>
      </c>
      <c r="E677" s="29">
        <v>0</v>
      </c>
      <c r="F677" s="28">
        <f t="shared" si="47"/>
        <v>27117.81</v>
      </c>
      <c r="G677">
        <f t="shared" si="48"/>
        <v>2026</v>
      </c>
      <c r="H677">
        <f t="shared" si="49"/>
        <v>5</v>
      </c>
      <c r="I677">
        <f t="shared" si="50"/>
        <v>2</v>
      </c>
    </row>
    <row r="678" spans="1:9" x14ac:dyDescent="0.25">
      <c r="A678" s="29" t="s">
        <v>116</v>
      </c>
      <c r="B678" s="29" t="s">
        <v>10</v>
      </c>
      <c r="C678" s="29" t="s">
        <v>23</v>
      </c>
      <c r="D678" s="30">
        <v>14000000</v>
      </c>
      <c r="E678" s="29">
        <v>0</v>
      </c>
      <c r="F678" s="28">
        <f t="shared" si="47"/>
        <v>14000000</v>
      </c>
      <c r="G678">
        <f t="shared" si="48"/>
        <v>2026</v>
      </c>
      <c r="H678">
        <f t="shared" si="49"/>
        <v>5</v>
      </c>
      <c r="I678">
        <f t="shared" si="50"/>
        <v>2</v>
      </c>
    </row>
    <row r="679" spans="1:9" x14ac:dyDescent="0.25">
      <c r="A679" s="29" t="s">
        <v>116</v>
      </c>
      <c r="B679" s="29" t="s">
        <v>10</v>
      </c>
      <c r="C679" s="29" t="s">
        <v>11</v>
      </c>
      <c r="D679" s="30">
        <v>26540</v>
      </c>
      <c r="E679" s="29">
        <v>0</v>
      </c>
      <c r="F679" s="28">
        <f t="shared" si="47"/>
        <v>26540</v>
      </c>
      <c r="G679">
        <f t="shared" si="48"/>
        <v>2026</v>
      </c>
      <c r="H679">
        <f t="shared" si="49"/>
        <v>5</v>
      </c>
      <c r="I679">
        <f t="shared" si="50"/>
        <v>2</v>
      </c>
    </row>
    <row r="680" spans="1:9" x14ac:dyDescent="0.25">
      <c r="A680" s="29" t="s">
        <v>116</v>
      </c>
      <c r="B680" s="29" t="s">
        <v>10</v>
      </c>
      <c r="C680" s="29" t="s">
        <v>11</v>
      </c>
      <c r="D680" s="30">
        <v>8037</v>
      </c>
      <c r="E680" s="29">
        <v>0</v>
      </c>
      <c r="F680" s="28">
        <f t="shared" si="47"/>
        <v>8037</v>
      </c>
      <c r="G680">
        <f t="shared" si="48"/>
        <v>2026</v>
      </c>
      <c r="H680">
        <f t="shared" si="49"/>
        <v>5</v>
      </c>
      <c r="I680">
        <f t="shared" si="50"/>
        <v>2</v>
      </c>
    </row>
    <row r="681" spans="1:9" x14ac:dyDescent="0.25">
      <c r="A681" s="29" t="s">
        <v>116</v>
      </c>
      <c r="B681" s="29" t="s">
        <v>10</v>
      </c>
      <c r="C681" s="29" t="s">
        <v>11</v>
      </c>
      <c r="D681" s="30">
        <v>48165</v>
      </c>
      <c r="E681" s="29">
        <v>0</v>
      </c>
      <c r="F681" s="28">
        <f t="shared" si="47"/>
        <v>48165</v>
      </c>
      <c r="G681">
        <f t="shared" si="48"/>
        <v>2026</v>
      </c>
      <c r="H681">
        <f t="shared" si="49"/>
        <v>5</v>
      </c>
      <c r="I681">
        <f t="shared" si="50"/>
        <v>2</v>
      </c>
    </row>
    <row r="682" spans="1:9" x14ac:dyDescent="0.25">
      <c r="A682" s="29" t="s">
        <v>116</v>
      </c>
      <c r="B682" s="29" t="s">
        <v>10</v>
      </c>
      <c r="C682" s="29" t="s">
        <v>11</v>
      </c>
      <c r="D682" s="30">
        <v>5000</v>
      </c>
      <c r="E682" s="29">
        <v>0</v>
      </c>
      <c r="F682" s="28">
        <f t="shared" si="47"/>
        <v>5000</v>
      </c>
      <c r="G682">
        <f t="shared" si="48"/>
        <v>2026</v>
      </c>
      <c r="H682">
        <f t="shared" si="49"/>
        <v>5</v>
      </c>
      <c r="I682">
        <f t="shared" si="50"/>
        <v>2</v>
      </c>
    </row>
    <row r="683" spans="1:9" x14ac:dyDescent="0.25">
      <c r="A683" s="29" t="s">
        <v>116</v>
      </c>
      <c r="B683" s="29" t="s">
        <v>10</v>
      </c>
      <c r="C683" s="29" t="s">
        <v>13</v>
      </c>
      <c r="D683" s="30">
        <v>3981</v>
      </c>
      <c r="E683" s="29">
        <v>0</v>
      </c>
      <c r="F683" s="28">
        <f t="shared" si="47"/>
        <v>3981</v>
      </c>
      <c r="G683">
        <f t="shared" si="48"/>
        <v>2026</v>
      </c>
      <c r="H683">
        <f t="shared" si="49"/>
        <v>5</v>
      </c>
      <c r="I683">
        <f t="shared" si="50"/>
        <v>2</v>
      </c>
    </row>
    <row r="684" spans="1:9" x14ac:dyDescent="0.25">
      <c r="A684" s="29" t="s">
        <v>116</v>
      </c>
      <c r="B684" s="29" t="s">
        <v>10</v>
      </c>
      <c r="C684" s="29" t="s">
        <v>13</v>
      </c>
      <c r="D684" s="30">
        <v>1205.55</v>
      </c>
      <c r="E684" s="29">
        <v>0</v>
      </c>
      <c r="F684" s="28">
        <f t="shared" si="47"/>
        <v>1205.55</v>
      </c>
      <c r="G684">
        <f t="shared" si="48"/>
        <v>2026</v>
      </c>
      <c r="H684">
        <f t="shared" si="49"/>
        <v>5</v>
      </c>
      <c r="I684">
        <f t="shared" si="50"/>
        <v>2</v>
      </c>
    </row>
    <row r="685" spans="1:9" x14ac:dyDescent="0.25">
      <c r="A685" s="29" t="s">
        <v>116</v>
      </c>
      <c r="B685" s="29" t="s">
        <v>10</v>
      </c>
      <c r="C685" s="29" t="s">
        <v>13</v>
      </c>
      <c r="D685" s="30">
        <v>7224.75</v>
      </c>
      <c r="E685" s="29">
        <v>0</v>
      </c>
      <c r="F685" s="28">
        <f t="shared" si="47"/>
        <v>7224.75</v>
      </c>
      <c r="G685">
        <f t="shared" si="48"/>
        <v>2026</v>
      </c>
      <c r="H685">
        <f t="shared" si="49"/>
        <v>5</v>
      </c>
      <c r="I685">
        <f t="shared" si="50"/>
        <v>2</v>
      </c>
    </row>
    <row r="686" spans="1:9" x14ac:dyDescent="0.25">
      <c r="A686" s="29" t="s">
        <v>116</v>
      </c>
      <c r="B686" s="29" t="s">
        <v>10</v>
      </c>
      <c r="C686" s="29" t="s">
        <v>13</v>
      </c>
      <c r="D686" s="30">
        <v>750</v>
      </c>
      <c r="E686" s="29">
        <v>0</v>
      </c>
      <c r="F686" s="28">
        <f t="shared" si="47"/>
        <v>750</v>
      </c>
      <c r="G686">
        <f t="shared" si="48"/>
        <v>2026</v>
      </c>
      <c r="H686">
        <f t="shared" si="49"/>
        <v>5</v>
      </c>
      <c r="I686">
        <f t="shared" si="50"/>
        <v>2</v>
      </c>
    </row>
    <row r="687" spans="1:9" x14ac:dyDescent="0.25">
      <c r="A687" s="29" t="s">
        <v>116</v>
      </c>
      <c r="B687" s="29" t="s">
        <v>14</v>
      </c>
      <c r="C687" s="29" t="s">
        <v>18</v>
      </c>
      <c r="D687" s="30">
        <v>0</v>
      </c>
      <c r="E687" s="29">
        <v>516</v>
      </c>
      <c r="F687" s="28">
        <f t="shared" si="47"/>
        <v>-516</v>
      </c>
      <c r="G687">
        <f t="shared" si="48"/>
        <v>2026</v>
      </c>
      <c r="H687">
        <f t="shared" si="49"/>
        <v>5</v>
      </c>
      <c r="I687">
        <f t="shared" si="50"/>
        <v>2</v>
      </c>
    </row>
    <row r="688" spans="1:9" x14ac:dyDescent="0.25">
      <c r="A688" s="29" t="s">
        <v>116</v>
      </c>
      <c r="B688" s="29" t="s">
        <v>14</v>
      </c>
      <c r="C688" s="29" t="s">
        <v>24</v>
      </c>
      <c r="D688" s="30">
        <v>0</v>
      </c>
      <c r="E688" s="29">
        <v>1190</v>
      </c>
      <c r="F688" s="28">
        <f t="shared" si="47"/>
        <v>-1190</v>
      </c>
      <c r="G688">
        <f t="shared" si="48"/>
        <v>2026</v>
      </c>
      <c r="H688">
        <f t="shared" si="49"/>
        <v>5</v>
      </c>
      <c r="I688">
        <f t="shared" si="50"/>
        <v>2</v>
      </c>
    </row>
    <row r="689" spans="1:9" x14ac:dyDescent="0.25">
      <c r="A689" s="29" t="s">
        <v>116</v>
      </c>
      <c r="B689" s="29" t="s">
        <v>14</v>
      </c>
      <c r="C689" s="29" t="s">
        <v>18</v>
      </c>
      <c r="D689" s="30">
        <v>0</v>
      </c>
      <c r="E689" s="29">
        <v>9855</v>
      </c>
      <c r="F689" s="28">
        <f t="shared" si="47"/>
        <v>-9855</v>
      </c>
      <c r="G689">
        <f t="shared" si="48"/>
        <v>2026</v>
      </c>
      <c r="H689">
        <f t="shared" si="49"/>
        <v>5</v>
      </c>
      <c r="I689">
        <f t="shared" si="50"/>
        <v>2</v>
      </c>
    </row>
    <row r="690" spans="1:9" x14ac:dyDescent="0.25">
      <c r="A690" s="29" t="s">
        <v>116</v>
      </c>
      <c r="B690" s="29" t="s">
        <v>14</v>
      </c>
      <c r="C690" s="29" t="s">
        <v>13</v>
      </c>
      <c r="D690" s="30">
        <v>0</v>
      </c>
      <c r="E690" s="29">
        <v>3981</v>
      </c>
      <c r="F690" s="28">
        <f t="shared" si="47"/>
        <v>-3981</v>
      </c>
      <c r="G690">
        <f t="shared" si="48"/>
        <v>2026</v>
      </c>
      <c r="H690">
        <f t="shared" si="49"/>
        <v>5</v>
      </c>
      <c r="I690">
        <f t="shared" si="50"/>
        <v>2</v>
      </c>
    </row>
    <row r="691" spans="1:9" x14ac:dyDescent="0.25">
      <c r="A691" s="29" t="s">
        <v>116</v>
      </c>
      <c r="B691" s="29" t="s">
        <v>14</v>
      </c>
      <c r="C691" s="29" t="s">
        <v>13</v>
      </c>
      <c r="D691" s="30">
        <v>0</v>
      </c>
      <c r="E691" s="29">
        <v>1205.55</v>
      </c>
      <c r="F691" s="28">
        <f t="shared" si="47"/>
        <v>-1205.55</v>
      </c>
      <c r="G691">
        <f t="shared" si="48"/>
        <v>2026</v>
      </c>
      <c r="H691">
        <f t="shared" si="49"/>
        <v>5</v>
      </c>
      <c r="I691">
        <f t="shared" si="50"/>
        <v>2</v>
      </c>
    </row>
    <row r="692" spans="1:9" x14ac:dyDescent="0.25">
      <c r="A692" s="29" t="s">
        <v>116</v>
      </c>
      <c r="B692" s="29" t="s">
        <v>14</v>
      </c>
      <c r="C692" s="29" t="s">
        <v>19</v>
      </c>
      <c r="D692" s="30">
        <v>0</v>
      </c>
      <c r="E692" s="29">
        <v>11500</v>
      </c>
      <c r="F692" s="28">
        <f t="shared" si="47"/>
        <v>-11500</v>
      </c>
      <c r="G692">
        <f t="shared" si="48"/>
        <v>2026</v>
      </c>
      <c r="H692">
        <f t="shared" si="49"/>
        <v>5</v>
      </c>
      <c r="I692">
        <f t="shared" si="50"/>
        <v>2</v>
      </c>
    </row>
    <row r="693" spans="1:9" x14ac:dyDescent="0.25">
      <c r="A693" s="29" t="s">
        <v>116</v>
      </c>
      <c r="B693" s="29" t="s">
        <v>14</v>
      </c>
      <c r="C693" s="29" t="s">
        <v>102</v>
      </c>
      <c r="D693" s="30">
        <v>0</v>
      </c>
      <c r="E693" s="29">
        <v>79000</v>
      </c>
      <c r="F693" s="28">
        <f t="shared" si="47"/>
        <v>-79000</v>
      </c>
      <c r="G693">
        <f t="shared" si="48"/>
        <v>2026</v>
      </c>
      <c r="H693">
        <f t="shared" si="49"/>
        <v>5</v>
      </c>
      <c r="I693">
        <f t="shared" si="50"/>
        <v>2</v>
      </c>
    </row>
    <row r="694" spans="1:9" x14ac:dyDescent="0.25">
      <c r="A694" s="29" t="s">
        <v>116</v>
      </c>
      <c r="B694" s="29" t="s">
        <v>14</v>
      </c>
      <c r="C694" s="29" t="s">
        <v>13</v>
      </c>
      <c r="D694" s="30">
        <v>0</v>
      </c>
      <c r="E694" s="29">
        <v>7224.75</v>
      </c>
      <c r="F694" s="28">
        <f t="shared" si="47"/>
        <v>-7224.75</v>
      </c>
      <c r="G694">
        <f t="shared" si="48"/>
        <v>2026</v>
      </c>
      <c r="H694">
        <f t="shared" si="49"/>
        <v>5</v>
      </c>
      <c r="I694">
        <f t="shared" si="50"/>
        <v>2</v>
      </c>
    </row>
    <row r="695" spans="1:9" x14ac:dyDescent="0.25">
      <c r="A695" s="29" t="s">
        <v>116</v>
      </c>
      <c r="B695" s="29" t="s">
        <v>14</v>
      </c>
      <c r="C695" s="29" t="s">
        <v>13</v>
      </c>
      <c r="D695" s="30">
        <v>0</v>
      </c>
      <c r="E695" s="29">
        <v>750</v>
      </c>
      <c r="F695" s="28">
        <f t="shared" si="47"/>
        <v>-750</v>
      </c>
      <c r="G695">
        <f t="shared" si="48"/>
        <v>2026</v>
      </c>
      <c r="H695">
        <f t="shared" si="49"/>
        <v>5</v>
      </c>
      <c r="I695">
        <f t="shared" si="50"/>
        <v>2</v>
      </c>
    </row>
    <row r="696" spans="1:9" x14ac:dyDescent="0.25">
      <c r="A696" s="29" t="s">
        <v>117</v>
      </c>
      <c r="B696" s="29" t="s">
        <v>10</v>
      </c>
      <c r="C696" s="29" t="s">
        <v>12</v>
      </c>
      <c r="D696" s="30">
        <v>12457.42</v>
      </c>
      <c r="E696" s="29">
        <v>0</v>
      </c>
      <c r="F696" s="28">
        <f t="shared" si="47"/>
        <v>12457.42</v>
      </c>
      <c r="G696">
        <f t="shared" si="48"/>
        <v>2026</v>
      </c>
      <c r="H696">
        <f t="shared" si="49"/>
        <v>5</v>
      </c>
      <c r="I696">
        <f t="shared" si="50"/>
        <v>2</v>
      </c>
    </row>
    <row r="697" spans="1:9" x14ac:dyDescent="0.25">
      <c r="A697" s="29" t="s">
        <v>117</v>
      </c>
      <c r="B697" s="29" t="s">
        <v>10</v>
      </c>
      <c r="C697" s="29" t="s">
        <v>11</v>
      </c>
      <c r="D697" s="30">
        <v>231380</v>
      </c>
      <c r="E697" s="29">
        <v>0</v>
      </c>
      <c r="F697" s="28">
        <f t="shared" si="47"/>
        <v>231380</v>
      </c>
      <c r="G697">
        <f t="shared" si="48"/>
        <v>2026</v>
      </c>
      <c r="H697">
        <f t="shared" si="49"/>
        <v>5</v>
      </c>
      <c r="I697">
        <f t="shared" si="50"/>
        <v>2</v>
      </c>
    </row>
    <row r="698" spans="1:9" x14ac:dyDescent="0.25">
      <c r="A698" s="29" t="s">
        <v>117</v>
      </c>
      <c r="B698" s="29" t="s">
        <v>10</v>
      </c>
      <c r="C698" s="29" t="s">
        <v>11</v>
      </c>
      <c r="D698" s="30">
        <v>5000</v>
      </c>
      <c r="E698" s="29">
        <v>0</v>
      </c>
      <c r="F698" s="28">
        <f t="shared" si="47"/>
        <v>5000</v>
      </c>
      <c r="G698">
        <f t="shared" si="48"/>
        <v>2026</v>
      </c>
      <c r="H698">
        <f t="shared" si="49"/>
        <v>5</v>
      </c>
      <c r="I698">
        <f t="shared" si="50"/>
        <v>2</v>
      </c>
    </row>
    <row r="699" spans="1:9" x14ac:dyDescent="0.25">
      <c r="A699" s="29" t="s">
        <v>117</v>
      </c>
      <c r="B699" s="29" t="s">
        <v>10</v>
      </c>
      <c r="C699" s="29" t="s">
        <v>11</v>
      </c>
      <c r="D699" s="30">
        <v>25475</v>
      </c>
      <c r="E699" s="29">
        <v>0</v>
      </c>
      <c r="F699" s="28">
        <f t="shared" si="47"/>
        <v>25475</v>
      </c>
      <c r="G699">
        <f t="shared" si="48"/>
        <v>2026</v>
      </c>
      <c r="H699">
        <f t="shared" si="49"/>
        <v>5</v>
      </c>
      <c r="I699">
        <f t="shared" si="50"/>
        <v>2</v>
      </c>
    </row>
    <row r="700" spans="1:9" x14ac:dyDescent="0.25">
      <c r="A700" s="29" t="s">
        <v>117</v>
      </c>
      <c r="B700" s="29" t="s">
        <v>10</v>
      </c>
      <c r="C700" s="29" t="s">
        <v>11</v>
      </c>
      <c r="D700" s="30">
        <v>31405</v>
      </c>
      <c r="E700" s="29">
        <v>0</v>
      </c>
      <c r="F700" s="28">
        <f t="shared" si="47"/>
        <v>31405</v>
      </c>
      <c r="G700">
        <f t="shared" si="48"/>
        <v>2026</v>
      </c>
      <c r="H700">
        <f t="shared" si="49"/>
        <v>5</v>
      </c>
      <c r="I700">
        <f t="shared" si="50"/>
        <v>2</v>
      </c>
    </row>
    <row r="701" spans="1:9" x14ac:dyDescent="0.25">
      <c r="A701" s="29" t="s">
        <v>117</v>
      </c>
      <c r="B701" s="29" t="s">
        <v>10</v>
      </c>
      <c r="C701" s="29" t="s">
        <v>11</v>
      </c>
      <c r="D701" s="30">
        <v>18085</v>
      </c>
      <c r="E701" s="29">
        <v>0</v>
      </c>
      <c r="F701" s="28">
        <f t="shared" si="47"/>
        <v>18085</v>
      </c>
      <c r="G701">
        <f t="shared" si="48"/>
        <v>2026</v>
      </c>
      <c r="H701">
        <f t="shared" si="49"/>
        <v>5</v>
      </c>
      <c r="I701">
        <f t="shared" si="50"/>
        <v>2</v>
      </c>
    </row>
    <row r="702" spans="1:9" x14ac:dyDescent="0.25">
      <c r="A702" s="29" t="s">
        <v>117</v>
      </c>
      <c r="B702" s="29" t="s">
        <v>10</v>
      </c>
      <c r="C702" s="29" t="s">
        <v>13</v>
      </c>
      <c r="D702" s="30">
        <v>34707</v>
      </c>
      <c r="E702" s="29">
        <v>0</v>
      </c>
      <c r="F702" s="28">
        <f t="shared" si="47"/>
        <v>34707</v>
      </c>
      <c r="G702">
        <f t="shared" si="48"/>
        <v>2026</v>
      </c>
      <c r="H702">
        <f t="shared" si="49"/>
        <v>5</v>
      </c>
      <c r="I702">
        <f t="shared" si="50"/>
        <v>2</v>
      </c>
    </row>
    <row r="703" spans="1:9" x14ac:dyDescent="0.25">
      <c r="A703" s="29" t="s">
        <v>117</v>
      </c>
      <c r="B703" s="29" t="s">
        <v>10</v>
      </c>
      <c r="C703" s="29" t="s">
        <v>13</v>
      </c>
      <c r="D703" s="30">
        <v>750</v>
      </c>
      <c r="E703" s="29">
        <v>0</v>
      </c>
      <c r="F703" s="28">
        <f t="shared" si="47"/>
        <v>750</v>
      </c>
      <c r="G703">
        <f t="shared" si="48"/>
        <v>2026</v>
      </c>
      <c r="H703">
        <f t="shared" si="49"/>
        <v>5</v>
      </c>
      <c r="I703">
        <f t="shared" si="50"/>
        <v>2</v>
      </c>
    </row>
    <row r="704" spans="1:9" x14ac:dyDescent="0.25">
      <c r="A704" s="29" t="s">
        <v>117</v>
      </c>
      <c r="B704" s="29" t="s">
        <v>10</v>
      </c>
      <c r="C704" s="29" t="s">
        <v>13</v>
      </c>
      <c r="D704" s="30">
        <v>3821.25</v>
      </c>
      <c r="E704" s="29">
        <v>0</v>
      </c>
      <c r="F704" s="28">
        <f t="shared" si="47"/>
        <v>3821.25</v>
      </c>
      <c r="G704">
        <f t="shared" si="48"/>
        <v>2026</v>
      </c>
      <c r="H704">
        <f t="shared" si="49"/>
        <v>5</v>
      </c>
      <c r="I704">
        <f t="shared" si="50"/>
        <v>2</v>
      </c>
    </row>
    <row r="705" spans="1:9" x14ac:dyDescent="0.25">
      <c r="A705" s="29" t="s">
        <v>117</v>
      </c>
      <c r="B705" s="29" t="s">
        <v>10</v>
      </c>
      <c r="C705" s="29" t="s">
        <v>13</v>
      </c>
      <c r="D705" s="30">
        <v>4710.75</v>
      </c>
      <c r="E705" s="29">
        <v>0</v>
      </c>
      <c r="F705" s="28">
        <f t="shared" si="47"/>
        <v>4710.75</v>
      </c>
      <c r="G705">
        <f t="shared" si="48"/>
        <v>2026</v>
      </c>
      <c r="H705">
        <f t="shared" si="49"/>
        <v>5</v>
      </c>
      <c r="I705">
        <f t="shared" si="50"/>
        <v>2</v>
      </c>
    </row>
    <row r="706" spans="1:9" x14ac:dyDescent="0.25">
      <c r="A706" s="29" t="s">
        <v>117</v>
      </c>
      <c r="B706" s="29" t="s">
        <v>10</v>
      </c>
      <c r="C706" s="29" t="s">
        <v>13</v>
      </c>
      <c r="D706" s="30">
        <v>2712.75</v>
      </c>
      <c r="E706" s="29">
        <v>0</v>
      </c>
      <c r="F706" s="28">
        <f t="shared" si="47"/>
        <v>2712.75</v>
      </c>
      <c r="G706">
        <f t="shared" si="48"/>
        <v>2026</v>
      </c>
      <c r="H706">
        <f t="shared" si="49"/>
        <v>5</v>
      </c>
      <c r="I706">
        <f t="shared" si="50"/>
        <v>2</v>
      </c>
    </row>
    <row r="707" spans="1:9" x14ac:dyDescent="0.25">
      <c r="A707" s="29" t="s">
        <v>117</v>
      </c>
      <c r="B707" s="29" t="s">
        <v>14</v>
      </c>
      <c r="C707" s="29" t="s">
        <v>23</v>
      </c>
      <c r="D707" s="30">
        <v>0</v>
      </c>
      <c r="E707" s="29">
        <v>14000000</v>
      </c>
      <c r="F707" s="28">
        <f t="shared" si="47"/>
        <v>-14000000</v>
      </c>
      <c r="G707">
        <f t="shared" si="48"/>
        <v>2026</v>
      </c>
      <c r="H707">
        <f t="shared" si="49"/>
        <v>5</v>
      </c>
      <c r="I707">
        <f t="shared" si="50"/>
        <v>2</v>
      </c>
    </row>
    <row r="708" spans="1:9" x14ac:dyDescent="0.25">
      <c r="A708" s="29" t="s">
        <v>117</v>
      </c>
      <c r="B708" s="29" t="s">
        <v>14</v>
      </c>
      <c r="C708" s="29" t="s">
        <v>13</v>
      </c>
      <c r="D708" s="30">
        <v>0</v>
      </c>
      <c r="E708" s="29">
        <v>34707</v>
      </c>
      <c r="F708" s="28">
        <f t="shared" si="47"/>
        <v>-34707</v>
      </c>
      <c r="G708">
        <f t="shared" si="48"/>
        <v>2026</v>
      </c>
      <c r="H708">
        <f t="shared" si="49"/>
        <v>5</v>
      </c>
      <c r="I708">
        <f t="shared" si="50"/>
        <v>2</v>
      </c>
    </row>
    <row r="709" spans="1:9" x14ac:dyDescent="0.25">
      <c r="A709" s="29" t="s">
        <v>117</v>
      </c>
      <c r="B709" s="29" t="s">
        <v>14</v>
      </c>
      <c r="C709" s="29" t="s">
        <v>20</v>
      </c>
      <c r="D709" s="30">
        <v>0</v>
      </c>
      <c r="E709" s="29">
        <v>96000</v>
      </c>
      <c r="F709" s="28">
        <f t="shared" si="47"/>
        <v>-96000</v>
      </c>
      <c r="G709">
        <f t="shared" si="48"/>
        <v>2026</v>
      </c>
      <c r="H709">
        <f t="shared" si="49"/>
        <v>5</v>
      </c>
      <c r="I709">
        <f t="shared" si="50"/>
        <v>2</v>
      </c>
    </row>
    <row r="710" spans="1:9" x14ac:dyDescent="0.25">
      <c r="A710" s="29" t="s">
        <v>117</v>
      </c>
      <c r="B710" s="29" t="s">
        <v>14</v>
      </c>
      <c r="C710" s="29" t="s">
        <v>13</v>
      </c>
      <c r="D710" s="30">
        <v>0</v>
      </c>
      <c r="E710" s="29">
        <v>750</v>
      </c>
      <c r="F710" s="28">
        <f t="shared" si="47"/>
        <v>-750</v>
      </c>
      <c r="G710">
        <f t="shared" si="48"/>
        <v>2026</v>
      </c>
      <c r="H710">
        <f t="shared" si="49"/>
        <v>5</v>
      </c>
      <c r="I710">
        <f t="shared" si="50"/>
        <v>2</v>
      </c>
    </row>
    <row r="711" spans="1:9" x14ac:dyDescent="0.25">
      <c r="A711" s="29" t="s">
        <v>117</v>
      </c>
      <c r="B711" s="29" t="s">
        <v>14</v>
      </c>
      <c r="C711" s="29" t="s">
        <v>13</v>
      </c>
      <c r="D711" s="30">
        <v>0</v>
      </c>
      <c r="E711" s="29">
        <v>3821.25</v>
      </c>
      <c r="F711" s="28">
        <f t="shared" si="47"/>
        <v>-3821.25</v>
      </c>
      <c r="G711">
        <f t="shared" si="48"/>
        <v>2026</v>
      </c>
      <c r="H711">
        <f t="shared" si="49"/>
        <v>5</v>
      </c>
      <c r="I711">
        <f t="shared" si="50"/>
        <v>2</v>
      </c>
    </row>
    <row r="712" spans="1:9" x14ac:dyDescent="0.25">
      <c r="A712" s="29" t="s">
        <v>117</v>
      </c>
      <c r="B712" s="29" t="s">
        <v>14</v>
      </c>
      <c r="C712" s="29" t="s">
        <v>13</v>
      </c>
      <c r="D712" s="30">
        <v>0</v>
      </c>
      <c r="E712" s="29">
        <v>4710.75</v>
      </c>
      <c r="F712" s="28">
        <f t="shared" si="47"/>
        <v>-4710.75</v>
      </c>
      <c r="G712">
        <f t="shared" si="48"/>
        <v>2026</v>
      </c>
      <c r="H712">
        <f t="shared" si="49"/>
        <v>5</v>
      </c>
      <c r="I712">
        <f t="shared" si="50"/>
        <v>2</v>
      </c>
    </row>
    <row r="713" spans="1:9" x14ac:dyDescent="0.25">
      <c r="A713" s="29" t="s">
        <v>117</v>
      </c>
      <c r="B713" s="29" t="s">
        <v>14</v>
      </c>
      <c r="C713" s="29" t="s">
        <v>17</v>
      </c>
      <c r="D713" s="30">
        <v>0</v>
      </c>
      <c r="E713" s="29">
        <v>4509</v>
      </c>
      <c r="F713" s="28">
        <f t="shared" si="47"/>
        <v>-4509</v>
      </c>
      <c r="G713">
        <f t="shared" si="48"/>
        <v>2026</v>
      </c>
      <c r="H713">
        <f t="shared" si="49"/>
        <v>5</v>
      </c>
      <c r="I713">
        <f t="shared" si="50"/>
        <v>2</v>
      </c>
    </row>
    <row r="714" spans="1:9" x14ac:dyDescent="0.25">
      <c r="A714" s="29" t="s">
        <v>117</v>
      </c>
      <c r="B714" s="29" t="s">
        <v>14</v>
      </c>
      <c r="C714" s="29" t="s">
        <v>20</v>
      </c>
      <c r="D714" s="30">
        <v>0</v>
      </c>
      <c r="E714" s="29">
        <v>212000</v>
      </c>
      <c r="F714" s="28">
        <f t="shared" ref="F714:F777" si="51">D714-E714</f>
        <v>-212000</v>
      </c>
      <c r="G714">
        <f t="shared" ref="G714:G777" si="52">YEAR(A714)</f>
        <v>2026</v>
      </c>
      <c r="H714">
        <f t="shared" ref="H714:H777" si="53">MONTH(A714)</f>
        <v>5</v>
      </c>
      <c r="I714">
        <f t="shared" ref="I714:I777" si="54">ROUNDUP(H714/3,0)</f>
        <v>2</v>
      </c>
    </row>
    <row r="715" spans="1:9" x14ac:dyDescent="0.25">
      <c r="A715" s="29" t="s">
        <v>117</v>
      </c>
      <c r="B715" s="29" t="s">
        <v>14</v>
      </c>
      <c r="C715" s="29" t="s">
        <v>13</v>
      </c>
      <c r="D715" s="30">
        <v>0</v>
      </c>
      <c r="E715" s="29">
        <v>2712.75</v>
      </c>
      <c r="F715" s="28">
        <f t="shared" si="51"/>
        <v>-2712.75</v>
      </c>
      <c r="G715">
        <f t="shared" si="52"/>
        <v>2026</v>
      </c>
      <c r="H715">
        <f t="shared" si="53"/>
        <v>5</v>
      </c>
      <c r="I715">
        <f t="shared" si="54"/>
        <v>2</v>
      </c>
    </row>
    <row r="716" spans="1:9" x14ac:dyDescent="0.25">
      <c r="A716" s="29" t="s">
        <v>117</v>
      </c>
      <c r="B716" s="29" t="s">
        <v>14</v>
      </c>
      <c r="C716" s="29" t="s">
        <v>20</v>
      </c>
      <c r="D716" s="30">
        <v>0</v>
      </c>
      <c r="E716" s="29">
        <v>95850</v>
      </c>
      <c r="F716" s="28">
        <f t="shared" si="51"/>
        <v>-95850</v>
      </c>
      <c r="G716">
        <f t="shared" si="52"/>
        <v>2026</v>
      </c>
      <c r="H716">
        <f t="shared" si="53"/>
        <v>5</v>
      </c>
      <c r="I716">
        <f t="shared" si="54"/>
        <v>2</v>
      </c>
    </row>
    <row r="717" spans="1:9" x14ac:dyDescent="0.25">
      <c r="A717" s="29" t="s">
        <v>117</v>
      </c>
      <c r="B717" s="29" t="s">
        <v>14</v>
      </c>
      <c r="C717" s="29" t="s">
        <v>29</v>
      </c>
      <c r="D717" s="30">
        <v>0</v>
      </c>
      <c r="E717" s="29">
        <v>5500</v>
      </c>
      <c r="F717" s="28">
        <f t="shared" si="51"/>
        <v>-5500</v>
      </c>
      <c r="G717">
        <f t="shared" si="52"/>
        <v>2026</v>
      </c>
      <c r="H717">
        <f t="shared" si="53"/>
        <v>5</v>
      </c>
      <c r="I717">
        <f t="shared" si="54"/>
        <v>2</v>
      </c>
    </row>
    <row r="718" spans="1:9" x14ac:dyDescent="0.25">
      <c r="A718" s="29" t="s">
        <v>118</v>
      </c>
      <c r="B718" s="29" t="s">
        <v>10</v>
      </c>
      <c r="C718" s="29" t="s">
        <v>12</v>
      </c>
      <c r="D718" s="30">
        <v>4384.71</v>
      </c>
      <c r="E718" s="29">
        <v>0</v>
      </c>
      <c r="F718" s="28">
        <f t="shared" si="51"/>
        <v>4384.71</v>
      </c>
      <c r="G718">
        <f t="shared" si="52"/>
        <v>2026</v>
      </c>
      <c r="H718">
        <f t="shared" si="53"/>
        <v>5</v>
      </c>
      <c r="I718">
        <f t="shared" si="54"/>
        <v>2</v>
      </c>
    </row>
    <row r="719" spans="1:9" x14ac:dyDescent="0.25">
      <c r="A719" s="29" t="s">
        <v>118</v>
      </c>
      <c r="B719" s="29" t="s">
        <v>10</v>
      </c>
      <c r="C719" s="29" t="s">
        <v>11</v>
      </c>
      <c r="D719" s="30">
        <v>20100</v>
      </c>
      <c r="E719" s="29">
        <v>0</v>
      </c>
      <c r="F719" s="28">
        <f t="shared" si="51"/>
        <v>20100</v>
      </c>
      <c r="G719">
        <f t="shared" si="52"/>
        <v>2026</v>
      </c>
      <c r="H719">
        <f t="shared" si="53"/>
        <v>5</v>
      </c>
      <c r="I719">
        <f t="shared" si="54"/>
        <v>2</v>
      </c>
    </row>
    <row r="720" spans="1:9" x14ac:dyDescent="0.25">
      <c r="A720" s="29" t="s">
        <v>118</v>
      </c>
      <c r="B720" s="29" t="s">
        <v>10</v>
      </c>
      <c r="C720" s="29" t="s">
        <v>11</v>
      </c>
      <c r="D720" s="30">
        <v>16040</v>
      </c>
      <c r="E720" s="29">
        <v>0</v>
      </c>
      <c r="F720" s="28">
        <f t="shared" si="51"/>
        <v>16040</v>
      </c>
      <c r="G720">
        <f t="shared" si="52"/>
        <v>2026</v>
      </c>
      <c r="H720">
        <f t="shared" si="53"/>
        <v>5</v>
      </c>
      <c r="I720">
        <f t="shared" si="54"/>
        <v>2</v>
      </c>
    </row>
    <row r="721" spans="1:9" x14ac:dyDescent="0.25">
      <c r="A721" s="29" t="s">
        <v>118</v>
      </c>
      <c r="B721" s="29" t="s">
        <v>10</v>
      </c>
      <c r="C721" s="29" t="s">
        <v>11</v>
      </c>
      <c r="D721" s="30">
        <v>40000</v>
      </c>
      <c r="E721" s="29">
        <v>0</v>
      </c>
      <c r="F721" s="28">
        <f t="shared" si="51"/>
        <v>40000</v>
      </c>
      <c r="G721">
        <f t="shared" si="52"/>
        <v>2026</v>
      </c>
      <c r="H721">
        <f t="shared" si="53"/>
        <v>5</v>
      </c>
      <c r="I721">
        <f t="shared" si="54"/>
        <v>2</v>
      </c>
    </row>
    <row r="722" spans="1:9" x14ac:dyDescent="0.25">
      <c r="A722" s="29" t="s">
        <v>118</v>
      </c>
      <c r="B722" s="29" t="s">
        <v>10</v>
      </c>
      <c r="C722" s="29" t="s">
        <v>13</v>
      </c>
      <c r="D722" s="30">
        <v>2406</v>
      </c>
      <c r="E722" s="29">
        <v>0</v>
      </c>
      <c r="F722" s="28">
        <f t="shared" si="51"/>
        <v>2406</v>
      </c>
      <c r="G722">
        <f t="shared" si="52"/>
        <v>2026</v>
      </c>
      <c r="H722">
        <f t="shared" si="53"/>
        <v>5</v>
      </c>
      <c r="I722">
        <f t="shared" si="54"/>
        <v>2</v>
      </c>
    </row>
    <row r="723" spans="1:9" x14ac:dyDescent="0.25">
      <c r="A723" s="29" t="s">
        <v>118</v>
      </c>
      <c r="B723" s="29" t="s">
        <v>10</v>
      </c>
      <c r="C723" s="29" t="s">
        <v>13</v>
      </c>
      <c r="D723" s="30">
        <v>3015</v>
      </c>
      <c r="E723" s="29">
        <v>0</v>
      </c>
      <c r="F723" s="28">
        <f t="shared" si="51"/>
        <v>3015</v>
      </c>
      <c r="G723">
        <f t="shared" si="52"/>
        <v>2026</v>
      </c>
      <c r="H723">
        <f t="shared" si="53"/>
        <v>5</v>
      </c>
      <c r="I723">
        <f t="shared" si="54"/>
        <v>2</v>
      </c>
    </row>
    <row r="724" spans="1:9" x14ac:dyDescent="0.25">
      <c r="A724" s="29" t="s">
        <v>118</v>
      </c>
      <c r="B724" s="29" t="s">
        <v>10</v>
      </c>
      <c r="C724" s="29" t="s">
        <v>13</v>
      </c>
      <c r="D724" s="30">
        <v>6000</v>
      </c>
      <c r="E724" s="29">
        <v>0</v>
      </c>
      <c r="F724" s="28">
        <f t="shared" si="51"/>
        <v>6000</v>
      </c>
      <c r="G724">
        <f t="shared" si="52"/>
        <v>2026</v>
      </c>
      <c r="H724">
        <f t="shared" si="53"/>
        <v>5</v>
      </c>
      <c r="I724">
        <f t="shared" si="54"/>
        <v>2</v>
      </c>
    </row>
    <row r="725" spans="1:9" x14ac:dyDescent="0.25">
      <c r="A725" s="29" t="s">
        <v>118</v>
      </c>
      <c r="B725" s="29" t="s">
        <v>14</v>
      </c>
      <c r="C725" s="29" t="s">
        <v>36</v>
      </c>
      <c r="D725" s="30">
        <v>0</v>
      </c>
      <c r="E725" s="29">
        <v>6220</v>
      </c>
      <c r="F725" s="28">
        <f t="shared" si="51"/>
        <v>-6220</v>
      </c>
      <c r="G725">
        <f t="shared" si="52"/>
        <v>2026</v>
      </c>
      <c r="H725">
        <f t="shared" si="53"/>
        <v>5</v>
      </c>
      <c r="I725">
        <f t="shared" si="54"/>
        <v>2</v>
      </c>
    </row>
    <row r="726" spans="1:9" x14ac:dyDescent="0.25">
      <c r="A726" s="29" t="s">
        <v>118</v>
      </c>
      <c r="B726" s="29" t="s">
        <v>14</v>
      </c>
      <c r="C726" s="29" t="s">
        <v>38</v>
      </c>
      <c r="D726" s="30">
        <v>0</v>
      </c>
      <c r="E726" s="29">
        <v>30300</v>
      </c>
      <c r="F726" s="28">
        <f t="shared" si="51"/>
        <v>-30300</v>
      </c>
      <c r="G726">
        <f t="shared" si="52"/>
        <v>2026</v>
      </c>
      <c r="H726">
        <f t="shared" si="53"/>
        <v>5</v>
      </c>
      <c r="I726">
        <f t="shared" si="54"/>
        <v>2</v>
      </c>
    </row>
    <row r="727" spans="1:9" x14ac:dyDescent="0.25">
      <c r="A727" s="29" t="s">
        <v>118</v>
      </c>
      <c r="B727" s="29" t="s">
        <v>14</v>
      </c>
      <c r="C727" s="29" t="s">
        <v>101</v>
      </c>
      <c r="D727" s="30">
        <v>0</v>
      </c>
      <c r="E727" s="29">
        <v>48704</v>
      </c>
      <c r="F727" s="28">
        <f t="shared" si="51"/>
        <v>-48704</v>
      </c>
      <c r="G727">
        <f t="shared" si="52"/>
        <v>2026</v>
      </c>
      <c r="H727">
        <f t="shared" si="53"/>
        <v>5</v>
      </c>
      <c r="I727">
        <f t="shared" si="54"/>
        <v>2</v>
      </c>
    </row>
    <row r="728" spans="1:9" x14ac:dyDescent="0.25">
      <c r="A728" s="29" t="s">
        <v>118</v>
      </c>
      <c r="B728" s="29" t="s">
        <v>14</v>
      </c>
      <c r="C728" s="29" t="s">
        <v>102</v>
      </c>
      <c r="D728" s="30">
        <v>0</v>
      </c>
      <c r="E728" s="29">
        <v>240000</v>
      </c>
      <c r="F728" s="28">
        <f t="shared" si="51"/>
        <v>-240000</v>
      </c>
      <c r="G728">
        <f t="shared" si="52"/>
        <v>2026</v>
      </c>
      <c r="H728">
        <f t="shared" si="53"/>
        <v>5</v>
      </c>
      <c r="I728">
        <f t="shared" si="54"/>
        <v>2</v>
      </c>
    </row>
    <row r="729" spans="1:9" x14ac:dyDescent="0.25">
      <c r="A729" s="29" t="s">
        <v>118</v>
      </c>
      <c r="B729" s="29" t="s">
        <v>14</v>
      </c>
      <c r="C729" s="29" t="s">
        <v>107</v>
      </c>
      <c r="D729" s="30">
        <v>0</v>
      </c>
      <c r="E729" s="29">
        <v>110500</v>
      </c>
      <c r="F729" s="28">
        <f t="shared" si="51"/>
        <v>-110500</v>
      </c>
      <c r="G729">
        <f t="shared" si="52"/>
        <v>2026</v>
      </c>
      <c r="H729">
        <f t="shared" si="53"/>
        <v>5</v>
      </c>
      <c r="I729">
        <f t="shared" si="54"/>
        <v>2</v>
      </c>
    </row>
    <row r="730" spans="1:9" x14ac:dyDescent="0.25">
      <c r="A730" s="29" t="s">
        <v>118</v>
      </c>
      <c r="B730" s="29" t="s">
        <v>14</v>
      </c>
      <c r="C730" s="29" t="s">
        <v>17</v>
      </c>
      <c r="D730" s="30">
        <v>0</v>
      </c>
      <c r="E730" s="29">
        <v>3455.92</v>
      </c>
      <c r="F730" s="28">
        <f t="shared" si="51"/>
        <v>-3455.92</v>
      </c>
      <c r="G730">
        <f t="shared" si="52"/>
        <v>2026</v>
      </c>
      <c r="H730">
        <f t="shared" si="53"/>
        <v>5</v>
      </c>
      <c r="I730">
        <f t="shared" si="54"/>
        <v>2</v>
      </c>
    </row>
    <row r="731" spans="1:9" x14ac:dyDescent="0.25">
      <c r="A731" s="29" t="s">
        <v>118</v>
      </c>
      <c r="B731" s="29" t="s">
        <v>14</v>
      </c>
      <c r="C731" s="29" t="s">
        <v>13</v>
      </c>
      <c r="D731" s="30">
        <v>0</v>
      </c>
      <c r="E731" s="29">
        <v>2406</v>
      </c>
      <c r="F731" s="28">
        <f t="shared" si="51"/>
        <v>-2406</v>
      </c>
      <c r="G731">
        <f t="shared" si="52"/>
        <v>2026</v>
      </c>
      <c r="H731">
        <f t="shared" si="53"/>
        <v>5</v>
      </c>
      <c r="I731">
        <f t="shared" si="54"/>
        <v>2</v>
      </c>
    </row>
    <row r="732" spans="1:9" x14ac:dyDescent="0.25">
      <c r="A732" s="29" t="s">
        <v>118</v>
      </c>
      <c r="B732" s="29" t="s">
        <v>14</v>
      </c>
      <c r="C732" s="29" t="s">
        <v>13</v>
      </c>
      <c r="D732" s="30">
        <v>0</v>
      </c>
      <c r="E732" s="29">
        <v>3015</v>
      </c>
      <c r="F732" s="28">
        <f t="shared" si="51"/>
        <v>-3015</v>
      </c>
      <c r="G732">
        <f t="shared" si="52"/>
        <v>2026</v>
      </c>
      <c r="H732">
        <f t="shared" si="53"/>
        <v>5</v>
      </c>
      <c r="I732">
        <f t="shared" si="54"/>
        <v>2</v>
      </c>
    </row>
    <row r="733" spans="1:9" x14ac:dyDescent="0.25">
      <c r="A733" s="29" t="s">
        <v>118</v>
      </c>
      <c r="B733" s="29" t="s">
        <v>14</v>
      </c>
      <c r="C733" s="29" t="s">
        <v>13</v>
      </c>
      <c r="D733" s="30">
        <v>0</v>
      </c>
      <c r="E733" s="29">
        <v>6000</v>
      </c>
      <c r="F733" s="28">
        <f t="shared" si="51"/>
        <v>-6000</v>
      </c>
      <c r="G733">
        <f t="shared" si="52"/>
        <v>2026</v>
      </c>
      <c r="H733">
        <f t="shared" si="53"/>
        <v>5</v>
      </c>
      <c r="I733">
        <f t="shared" si="54"/>
        <v>2</v>
      </c>
    </row>
    <row r="734" spans="1:9" x14ac:dyDescent="0.25">
      <c r="A734" s="29" t="s">
        <v>119</v>
      </c>
      <c r="B734" s="29" t="s">
        <v>14</v>
      </c>
      <c r="C734" s="29" t="s">
        <v>18</v>
      </c>
      <c r="D734" s="30">
        <v>0</v>
      </c>
      <c r="E734" s="29">
        <v>19286</v>
      </c>
      <c r="F734" s="28">
        <f t="shared" si="51"/>
        <v>-19286</v>
      </c>
      <c r="G734">
        <f t="shared" si="52"/>
        <v>2026</v>
      </c>
      <c r="H734">
        <f t="shared" si="53"/>
        <v>5</v>
      </c>
      <c r="I734">
        <f t="shared" si="54"/>
        <v>2</v>
      </c>
    </row>
    <row r="735" spans="1:9" x14ac:dyDescent="0.25">
      <c r="A735" s="29" t="s">
        <v>120</v>
      </c>
      <c r="B735" s="29" t="s">
        <v>10</v>
      </c>
      <c r="C735" s="29" t="s">
        <v>11</v>
      </c>
      <c r="D735" s="30">
        <v>36080</v>
      </c>
      <c r="E735" s="29">
        <v>0</v>
      </c>
      <c r="F735" s="28">
        <f t="shared" si="51"/>
        <v>36080</v>
      </c>
      <c r="G735">
        <f t="shared" si="52"/>
        <v>2026</v>
      </c>
      <c r="H735">
        <f t="shared" si="53"/>
        <v>5</v>
      </c>
      <c r="I735">
        <f t="shared" si="54"/>
        <v>2</v>
      </c>
    </row>
    <row r="736" spans="1:9" x14ac:dyDescent="0.25">
      <c r="A736" s="29" t="s">
        <v>120</v>
      </c>
      <c r="B736" s="29" t="s">
        <v>10</v>
      </c>
      <c r="C736" s="29" t="s">
        <v>11</v>
      </c>
      <c r="D736" s="30">
        <v>59674.25</v>
      </c>
      <c r="E736" s="29">
        <v>0</v>
      </c>
      <c r="F736" s="28">
        <f t="shared" si="51"/>
        <v>59674.25</v>
      </c>
      <c r="G736">
        <f t="shared" si="52"/>
        <v>2026</v>
      </c>
      <c r="H736">
        <f t="shared" si="53"/>
        <v>5</v>
      </c>
      <c r="I736">
        <f t="shared" si="54"/>
        <v>2</v>
      </c>
    </row>
    <row r="737" spans="1:9" x14ac:dyDescent="0.25">
      <c r="A737" s="29" t="s">
        <v>120</v>
      </c>
      <c r="B737" s="29" t="s">
        <v>10</v>
      </c>
      <c r="C737" s="29" t="s">
        <v>11</v>
      </c>
      <c r="D737" s="30">
        <v>5510</v>
      </c>
      <c r="E737" s="29">
        <v>0</v>
      </c>
      <c r="F737" s="28">
        <f t="shared" si="51"/>
        <v>5510</v>
      </c>
      <c r="G737">
        <f t="shared" si="52"/>
        <v>2026</v>
      </c>
      <c r="H737">
        <f t="shared" si="53"/>
        <v>5</v>
      </c>
      <c r="I737">
        <f t="shared" si="54"/>
        <v>2</v>
      </c>
    </row>
    <row r="738" spans="1:9" x14ac:dyDescent="0.25">
      <c r="A738" s="29" t="s">
        <v>120</v>
      </c>
      <c r="B738" s="29" t="s">
        <v>10</v>
      </c>
      <c r="C738" s="29" t="s">
        <v>11</v>
      </c>
      <c r="D738" s="30">
        <v>92936</v>
      </c>
      <c r="E738" s="29">
        <v>0</v>
      </c>
      <c r="F738" s="28">
        <f t="shared" si="51"/>
        <v>92936</v>
      </c>
      <c r="G738">
        <f t="shared" si="52"/>
        <v>2026</v>
      </c>
      <c r="H738">
        <f t="shared" si="53"/>
        <v>5</v>
      </c>
      <c r="I738">
        <f t="shared" si="54"/>
        <v>2</v>
      </c>
    </row>
    <row r="739" spans="1:9" x14ac:dyDescent="0.25">
      <c r="A739" s="29" t="s">
        <v>120</v>
      </c>
      <c r="B739" s="29" t="s">
        <v>10</v>
      </c>
      <c r="C739" s="29" t="s">
        <v>13</v>
      </c>
      <c r="D739" s="30">
        <v>5412</v>
      </c>
      <c r="E739" s="29">
        <v>0</v>
      </c>
      <c r="F739" s="28">
        <f t="shared" si="51"/>
        <v>5412</v>
      </c>
      <c r="G739">
        <f t="shared" si="52"/>
        <v>2026</v>
      </c>
      <c r="H739">
        <f t="shared" si="53"/>
        <v>5</v>
      </c>
      <c r="I739">
        <f t="shared" si="54"/>
        <v>2</v>
      </c>
    </row>
    <row r="740" spans="1:9" x14ac:dyDescent="0.25">
      <c r="A740" s="29" t="s">
        <v>120</v>
      </c>
      <c r="B740" s="29" t="s">
        <v>10</v>
      </c>
      <c r="C740" s="29" t="s">
        <v>13</v>
      </c>
      <c r="D740" s="30">
        <v>8951.1299999999992</v>
      </c>
      <c r="E740" s="29">
        <v>0</v>
      </c>
      <c r="F740" s="28">
        <f t="shared" si="51"/>
        <v>8951.1299999999992</v>
      </c>
      <c r="G740">
        <f t="shared" si="52"/>
        <v>2026</v>
      </c>
      <c r="H740">
        <f t="shared" si="53"/>
        <v>5</v>
      </c>
      <c r="I740">
        <f t="shared" si="54"/>
        <v>2</v>
      </c>
    </row>
    <row r="741" spans="1:9" x14ac:dyDescent="0.25">
      <c r="A741" s="29" t="s">
        <v>120</v>
      </c>
      <c r="B741" s="29" t="s">
        <v>10</v>
      </c>
      <c r="C741" s="29" t="s">
        <v>13</v>
      </c>
      <c r="D741" s="30">
        <v>826.5</v>
      </c>
      <c r="E741" s="29">
        <v>0</v>
      </c>
      <c r="F741" s="28">
        <f t="shared" si="51"/>
        <v>826.5</v>
      </c>
      <c r="G741">
        <f t="shared" si="52"/>
        <v>2026</v>
      </c>
      <c r="H741">
        <f t="shared" si="53"/>
        <v>5</v>
      </c>
      <c r="I741">
        <f t="shared" si="54"/>
        <v>2</v>
      </c>
    </row>
    <row r="742" spans="1:9" x14ac:dyDescent="0.25">
      <c r="A742" s="29" t="s">
        <v>120</v>
      </c>
      <c r="B742" s="29" t="s">
        <v>10</v>
      </c>
      <c r="C742" s="29" t="s">
        <v>13</v>
      </c>
      <c r="D742" s="30">
        <v>13940.4</v>
      </c>
      <c r="E742" s="29">
        <v>0</v>
      </c>
      <c r="F742" s="28">
        <f t="shared" si="51"/>
        <v>13940.4</v>
      </c>
      <c r="G742">
        <f t="shared" si="52"/>
        <v>2026</v>
      </c>
      <c r="H742">
        <f t="shared" si="53"/>
        <v>5</v>
      </c>
      <c r="I742">
        <f t="shared" si="54"/>
        <v>2</v>
      </c>
    </row>
    <row r="743" spans="1:9" x14ac:dyDescent="0.25">
      <c r="A743" s="29" t="s">
        <v>120</v>
      </c>
      <c r="B743" s="29" t="s">
        <v>10</v>
      </c>
      <c r="C743" s="29" t="s">
        <v>12</v>
      </c>
      <c r="D743" s="30">
        <v>1227.72</v>
      </c>
      <c r="E743" s="29">
        <v>0</v>
      </c>
      <c r="F743" s="28">
        <f t="shared" si="51"/>
        <v>1227.72</v>
      </c>
      <c r="G743">
        <f t="shared" si="52"/>
        <v>2026</v>
      </c>
      <c r="H743">
        <f t="shared" si="53"/>
        <v>5</v>
      </c>
      <c r="I743">
        <f t="shared" si="54"/>
        <v>2</v>
      </c>
    </row>
    <row r="744" spans="1:9" x14ac:dyDescent="0.25">
      <c r="A744" s="29" t="s">
        <v>120</v>
      </c>
      <c r="B744" s="29" t="s">
        <v>14</v>
      </c>
      <c r="C744" s="29" t="s">
        <v>17</v>
      </c>
      <c r="D744" s="30">
        <v>0</v>
      </c>
      <c r="E744" s="29">
        <v>4086.71</v>
      </c>
      <c r="F744" s="28">
        <f t="shared" si="51"/>
        <v>-4086.71</v>
      </c>
      <c r="G744">
        <f t="shared" si="52"/>
        <v>2026</v>
      </c>
      <c r="H744">
        <f t="shared" si="53"/>
        <v>5</v>
      </c>
      <c r="I744">
        <f t="shared" si="54"/>
        <v>2</v>
      </c>
    </row>
    <row r="745" spans="1:9" x14ac:dyDescent="0.25">
      <c r="A745" s="29" t="s">
        <v>120</v>
      </c>
      <c r="B745" s="29" t="s">
        <v>14</v>
      </c>
      <c r="C745" s="29" t="s">
        <v>13</v>
      </c>
      <c r="D745" s="30">
        <v>0</v>
      </c>
      <c r="E745" s="29">
        <v>5412</v>
      </c>
      <c r="F745" s="28">
        <f t="shared" si="51"/>
        <v>-5412</v>
      </c>
      <c r="G745">
        <f t="shared" si="52"/>
        <v>2026</v>
      </c>
      <c r="H745">
        <f t="shared" si="53"/>
        <v>5</v>
      </c>
      <c r="I745">
        <f t="shared" si="54"/>
        <v>2</v>
      </c>
    </row>
    <row r="746" spans="1:9" x14ac:dyDescent="0.25">
      <c r="A746" s="29" t="s">
        <v>120</v>
      </c>
      <c r="B746" s="29" t="s">
        <v>14</v>
      </c>
      <c r="C746" s="29" t="s">
        <v>29</v>
      </c>
      <c r="D746" s="30">
        <v>0</v>
      </c>
      <c r="E746" s="29">
        <v>2000</v>
      </c>
      <c r="F746" s="28">
        <f t="shared" si="51"/>
        <v>-2000</v>
      </c>
      <c r="G746">
        <f t="shared" si="52"/>
        <v>2026</v>
      </c>
      <c r="H746">
        <f t="shared" si="53"/>
        <v>5</v>
      </c>
      <c r="I746">
        <f t="shared" si="54"/>
        <v>2</v>
      </c>
    </row>
    <row r="747" spans="1:9" x14ac:dyDescent="0.25">
      <c r="A747" s="29" t="s">
        <v>120</v>
      </c>
      <c r="B747" s="29" t="s">
        <v>14</v>
      </c>
      <c r="C747" s="29" t="s">
        <v>16</v>
      </c>
      <c r="D747" s="30">
        <v>0</v>
      </c>
      <c r="E747" s="29">
        <v>574.46</v>
      </c>
      <c r="F747" s="28">
        <f t="shared" si="51"/>
        <v>-574.46</v>
      </c>
      <c r="G747">
        <f t="shared" si="52"/>
        <v>2026</v>
      </c>
      <c r="H747">
        <f t="shared" si="53"/>
        <v>5</v>
      </c>
      <c r="I747">
        <f t="shared" si="54"/>
        <v>2</v>
      </c>
    </row>
    <row r="748" spans="1:9" x14ac:dyDescent="0.25">
      <c r="A748" s="29" t="s">
        <v>120</v>
      </c>
      <c r="B748" s="29" t="s">
        <v>14</v>
      </c>
      <c r="C748" s="29" t="s">
        <v>25</v>
      </c>
      <c r="D748" s="30">
        <v>0</v>
      </c>
      <c r="E748" s="29">
        <v>13456</v>
      </c>
      <c r="F748" s="28">
        <f t="shared" si="51"/>
        <v>-13456</v>
      </c>
      <c r="G748">
        <f t="shared" si="52"/>
        <v>2026</v>
      </c>
      <c r="H748">
        <f t="shared" si="53"/>
        <v>5</v>
      </c>
      <c r="I748">
        <f t="shared" si="54"/>
        <v>2</v>
      </c>
    </row>
    <row r="749" spans="1:9" x14ac:dyDescent="0.25">
      <c r="A749" s="29" t="s">
        <v>120</v>
      </c>
      <c r="B749" s="29" t="s">
        <v>14</v>
      </c>
      <c r="C749" s="29" t="s">
        <v>13</v>
      </c>
      <c r="D749" s="30">
        <v>0</v>
      </c>
      <c r="E749" s="29">
        <v>8951.1299999999992</v>
      </c>
      <c r="F749" s="28">
        <f t="shared" si="51"/>
        <v>-8951.1299999999992</v>
      </c>
      <c r="G749">
        <f t="shared" si="52"/>
        <v>2026</v>
      </c>
      <c r="H749">
        <f t="shared" si="53"/>
        <v>5</v>
      </c>
      <c r="I749">
        <f t="shared" si="54"/>
        <v>2</v>
      </c>
    </row>
    <row r="750" spans="1:9" x14ac:dyDescent="0.25">
      <c r="A750" s="29" t="s">
        <v>120</v>
      </c>
      <c r="B750" s="29" t="s">
        <v>14</v>
      </c>
      <c r="C750" s="29" t="s">
        <v>17</v>
      </c>
      <c r="D750" s="30">
        <v>0</v>
      </c>
      <c r="E750" s="29">
        <v>3840</v>
      </c>
      <c r="F750" s="28">
        <f t="shared" si="51"/>
        <v>-3840</v>
      </c>
      <c r="G750">
        <f t="shared" si="52"/>
        <v>2026</v>
      </c>
      <c r="H750">
        <f t="shared" si="53"/>
        <v>5</v>
      </c>
      <c r="I750">
        <f t="shared" si="54"/>
        <v>2</v>
      </c>
    </row>
    <row r="751" spans="1:9" x14ac:dyDescent="0.25">
      <c r="A751" s="29" t="s">
        <v>120</v>
      </c>
      <c r="B751" s="29" t="s">
        <v>14</v>
      </c>
      <c r="C751" s="29" t="s">
        <v>27</v>
      </c>
      <c r="D751" s="30">
        <v>0</v>
      </c>
      <c r="E751" s="29">
        <v>379200</v>
      </c>
      <c r="F751" s="28">
        <f t="shared" si="51"/>
        <v>-379200</v>
      </c>
      <c r="G751">
        <f t="shared" si="52"/>
        <v>2026</v>
      </c>
      <c r="H751">
        <f t="shared" si="53"/>
        <v>5</v>
      </c>
      <c r="I751">
        <f t="shared" si="54"/>
        <v>2</v>
      </c>
    </row>
    <row r="752" spans="1:9" x14ac:dyDescent="0.25">
      <c r="A752" s="29" t="s">
        <v>120</v>
      </c>
      <c r="B752" s="29" t="s">
        <v>14</v>
      </c>
      <c r="C752" s="29" t="s">
        <v>27</v>
      </c>
      <c r="D752" s="30">
        <v>0</v>
      </c>
      <c r="E752" s="29">
        <v>27000</v>
      </c>
      <c r="F752" s="28">
        <f t="shared" si="51"/>
        <v>-27000</v>
      </c>
      <c r="G752">
        <f t="shared" si="52"/>
        <v>2026</v>
      </c>
      <c r="H752">
        <f t="shared" si="53"/>
        <v>5</v>
      </c>
      <c r="I752">
        <f t="shared" si="54"/>
        <v>2</v>
      </c>
    </row>
    <row r="753" spans="1:9" x14ac:dyDescent="0.25">
      <c r="A753" s="29" t="s">
        <v>120</v>
      </c>
      <c r="B753" s="29" t="s">
        <v>14</v>
      </c>
      <c r="C753" s="29" t="s">
        <v>19</v>
      </c>
      <c r="D753" s="30">
        <v>0</v>
      </c>
      <c r="E753" s="29">
        <v>2230</v>
      </c>
      <c r="F753" s="28">
        <f t="shared" si="51"/>
        <v>-2230</v>
      </c>
      <c r="G753">
        <f t="shared" si="52"/>
        <v>2026</v>
      </c>
      <c r="H753">
        <f t="shared" si="53"/>
        <v>5</v>
      </c>
      <c r="I753">
        <f t="shared" si="54"/>
        <v>2</v>
      </c>
    </row>
    <row r="754" spans="1:9" x14ac:dyDescent="0.25">
      <c r="A754" s="29" t="s">
        <v>120</v>
      </c>
      <c r="B754" s="29" t="s">
        <v>14</v>
      </c>
      <c r="C754" s="29" t="s">
        <v>13</v>
      </c>
      <c r="D754" s="30">
        <v>0</v>
      </c>
      <c r="E754" s="29">
        <v>826.5</v>
      </c>
      <c r="F754" s="28">
        <f t="shared" si="51"/>
        <v>-826.5</v>
      </c>
      <c r="G754">
        <f t="shared" si="52"/>
        <v>2026</v>
      </c>
      <c r="H754">
        <f t="shared" si="53"/>
        <v>5</v>
      </c>
      <c r="I754">
        <f t="shared" si="54"/>
        <v>2</v>
      </c>
    </row>
    <row r="755" spans="1:9" x14ac:dyDescent="0.25">
      <c r="A755" s="29" t="s">
        <v>120</v>
      </c>
      <c r="B755" s="29" t="s">
        <v>14</v>
      </c>
      <c r="C755" s="29" t="s">
        <v>17</v>
      </c>
      <c r="D755" s="30">
        <v>0</v>
      </c>
      <c r="E755" s="29">
        <v>22533.51</v>
      </c>
      <c r="F755" s="28">
        <f t="shared" si="51"/>
        <v>-22533.51</v>
      </c>
      <c r="G755">
        <f t="shared" si="52"/>
        <v>2026</v>
      </c>
      <c r="H755">
        <f t="shared" si="53"/>
        <v>5</v>
      </c>
      <c r="I755">
        <f t="shared" si="54"/>
        <v>2</v>
      </c>
    </row>
    <row r="756" spans="1:9" x14ac:dyDescent="0.25">
      <c r="A756" s="29" t="s">
        <v>120</v>
      </c>
      <c r="B756" s="29" t="s">
        <v>14</v>
      </c>
      <c r="C756" s="29" t="s">
        <v>20</v>
      </c>
      <c r="D756" s="30">
        <v>0</v>
      </c>
      <c r="E756" s="29">
        <v>196000</v>
      </c>
      <c r="F756" s="28">
        <f t="shared" si="51"/>
        <v>-196000</v>
      </c>
      <c r="G756">
        <f t="shared" si="52"/>
        <v>2026</v>
      </c>
      <c r="H756">
        <f t="shared" si="53"/>
        <v>5</v>
      </c>
      <c r="I756">
        <f t="shared" si="54"/>
        <v>2</v>
      </c>
    </row>
    <row r="757" spans="1:9" x14ac:dyDescent="0.25">
      <c r="A757" s="29" t="s">
        <v>120</v>
      </c>
      <c r="B757" s="29" t="s">
        <v>14</v>
      </c>
      <c r="C757" s="29" t="s">
        <v>13</v>
      </c>
      <c r="D757" s="30">
        <v>0</v>
      </c>
      <c r="E757" s="29">
        <v>13940.4</v>
      </c>
      <c r="F757" s="28">
        <f t="shared" si="51"/>
        <v>-13940.4</v>
      </c>
      <c r="G757">
        <f t="shared" si="52"/>
        <v>2026</v>
      </c>
      <c r="H757">
        <f t="shared" si="53"/>
        <v>5</v>
      </c>
      <c r="I757">
        <f t="shared" si="54"/>
        <v>2</v>
      </c>
    </row>
    <row r="758" spans="1:9" x14ac:dyDescent="0.25">
      <c r="A758" s="29" t="s">
        <v>120</v>
      </c>
      <c r="B758" s="29" t="s">
        <v>14</v>
      </c>
      <c r="C758" s="29" t="s">
        <v>30</v>
      </c>
      <c r="D758" s="30">
        <v>0</v>
      </c>
      <c r="E758" s="29">
        <v>90044</v>
      </c>
      <c r="F758" s="28">
        <f t="shared" si="51"/>
        <v>-90044</v>
      </c>
      <c r="G758">
        <f t="shared" si="52"/>
        <v>2026</v>
      </c>
      <c r="H758">
        <f t="shared" si="53"/>
        <v>5</v>
      </c>
      <c r="I758">
        <f t="shared" si="54"/>
        <v>2</v>
      </c>
    </row>
    <row r="759" spans="1:9" x14ac:dyDescent="0.25">
      <c r="A759" s="29" t="s">
        <v>121</v>
      </c>
      <c r="B759" s="29" t="s">
        <v>10</v>
      </c>
      <c r="C759" s="29" t="s">
        <v>11</v>
      </c>
      <c r="D759" s="30">
        <v>8000</v>
      </c>
      <c r="E759" s="29">
        <v>0</v>
      </c>
      <c r="F759" s="28">
        <f t="shared" si="51"/>
        <v>8000</v>
      </c>
      <c r="G759">
        <f t="shared" si="52"/>
        <v>2026</v>
      </c>
      <c r="H759">
        <f t="shared" si="53"/>
        <v>5</v>
      </c>
      <c r="I759">
        <f t="shared" si="54"/>
        <v>2</v>
      </c>
    </row>
    <row r="760" spans="1:9" x14ac:dyDescent="0.25">
      <c r="A760" s="29" t="s">
        <v>121</v>
      </c>
      <c r="B760" s="29" t="s">
        <v>10</v>
      </c>
      <c r="C760" s="29" t="s">
        <v>11</v>
      </c>
      <c r="D760" s="30">
        <v>10525</v>
      </c>
      <c r="E760" s="29">
        <v>0</v>
      </c>
      <c r="F760" s="28">
        <f t="shared" si="51"/>
        <v>10525</v>
      </c>
      <c r="G760">
        <f t="shared" si="52"/>
        <v>2026</v>
      </c>
      <c r="H760">
        <f t="shared" si="53"/>
        <v>5</v>
      </c>
      <c r="I760">
        <f t="shared" si="54"/>
        <v>2</v>
      </c>
    </row>
    <row r="761" spans="1:9" x14ac:dyDescent="0.25">
      <c r="A761" s="29" t="s">
        <v>121</v>
      </c>
      <c r="B761" s="29" t="s">
        <v>10</v>
      </c>
      <c r="C761" s="29" t="s">
        <v>13</v>
      </c>
      <c r="D761" s="30">
        <v>1200</v>
      </c>
      <c r="E761" s="29">
        <v>0</v>
      </c>
      <c r="F761" s="28">
        <f t="shared" si="51"/>
        <v>1200</v>
      </c>
      <c r="G761">
        <f t="shared" si="52"/>
        <v>2026</v>
      </c>
      <c r="H761">
        <f t="shared" si="53"/>
        <v>5</v>
      </c>
      <c r="I761">
        <f t="shared" si="54"/>
        <v>2</v>
      </c>
    </row>
    <row r="762" spans="1:9" x14ac:dyDescent="0.25">
      <c r="A762" s="29" t="s">
        <v>121</v>
      </c>
      <c r="B762" s="29" t="s">
        <v>10</v>
      </c>
      <c r="C762" s="29" t="s">
        <v>13</v>
      </c>
      <c r="D762" s="30">
        <v>1578.75</v>
      </c>
      <c r="E762" s="29">
        <v>0</v>
      </c>
      <c r="F762" s="28">
        <f t="shared" si="51"/>
        <v>1578.75</v>
      </c>
      <c r="G762">
        <f t="shared" si="52"/>
        <v>2026</v>
      </c>
      <c r="H762">
        <f t="shared" si="53"/>
        <v>5</v>
      </c>
      <c r="I762">
        <f t="shared" si="54"/>
        <v>2</v>
      </c>
    </row>
    <row r="763" spans="1:9" x14ac:dyDescent="0.25">
      <c r="A763" s="29" t="s">
        <v>121</v>
      </c>
      <c r="B763" s="29" t="s">
        <v>10</v>
      </c>
      <c r="C763" s="29" t="s">
        <v>12</v>
      </c>
      <c r="D763" s="30">
        <v>22398.25</v>
      </c>
      <c r="E763" s="29">
        <v>0</v>
      </c>
      <c r="F763" s="28">
        <f t="shared" si="51"/>
        <v>22398.25</v>
      </c>
      <c r="G763">
        <f t="shared" si="52"/>
        <v>2026</v>
      </c>
      <c r="H763">
        <f t="shared" si="53"/>
        <v>5</v>
      </c>
      <c r="I763">
        <f t="shared" si="54"/>
        <v>2</v>
      </c>
    </row>
    <row r="764" spans="1:9" x14ac:dyDescent="0.25">
      <c r="A764" s="29" t="s">
        <v>121</v>
      </c>
      <c r="B764" s="29" t="s">
        <v>10</v>
      </c>
      <c r="C764" s="29" t="s">
        <v>11</v>
      </c>
      <c r="D764" s="30">
        <v>38022.75</v>
      </c>
      <c r="E764" s="29">
        <v>0</v>
      </c>
      <c r="F764" s="28">
        <f t="shared" si="51"/>
        <v>38022.75</v>
      </c>
      <c r="G764">
        <f t="shared" si="52"/>
        <v>2026</v>
      </c>
      <c r="H764">
        <f t="shared" si="53"/>
        <v>5</v>
      </c>
      <c r="I764">
        <f t="shared" si="54"/>
        <v>2</v>
      </c>
    </row>
    <row r="765" spans="1:9" x14ac:dyDescent="0.25">
      <c r="A765" s="29" t="s">
        <v>121</v>
      </c>
      <c r="B765" s="29" t="s">
        <v>10</v>
      </c>
      <c r="C765" s="29" t="s">
        <v>11</v>
      </c>
      <c r="D765" s="30">
        <v>134938</v>
      </c>
      <c r="E765" s="29">
        <v>0</v>
      </c>
      <c r="F765" s="28">
        <f t="shared" si="51"/>
        <v>134938</v>
      </c>
      <c r="G765">
        <f t="shared" si="52"/>
        <v>2026</v>
      </c>
      <c r="H765">
        <f t="shared" si="53"/>
        <v>5</v>
      </c>
      <c r="I765">
        <f t="shared" si="54"/>
        <v>2</v>
      </c>
    </row>
    <row r="766" spans="1:9" x14ac:dyDescent="0.25">
      <c r="A766" s="29" t="s">
        <v>121</v>
      </c>
      <c r="B766" s="29" t="s">
        <v>14</v>
      </c>
      <c r="C766" s="29" t="s">
        <v>13</v>
      </c>
      <c r="D766" s="30">
        <v>0</v>
      </c>
      <c r="E766" s="29">
        <v>1200</v>
      </c>
      <c r="F766" s="28">
        <f t="shared" si="51"/>
        <v>-1200</v>
      </c>
      <c r="G766">
        <f t="shared" si="52"/>
        <v>2026</v>
      </c>
      <c r="H766">
        <f t="shared" si="53"/>
        <v>5</v>
      </c>
      <c r="I766">
        <f t="shared" si="54"/>
        <v>2</v>
      </c>
    </row>
    <row r="767" spans="1:9" x14ac:dyDescent="0.25">
      <c r="A767" s="29" t="s">
        <v>121</v>
      </c>
      <c r="B767" s="29" t="s">
        <v>14</v>
      </c>
      <c r="C767" s="29" t="s">
        <v>13</v>
      </c>
      <c r="D767" s="30">
        <v>0</v>
      </c>
      <c r="E767" s="29">
        <v>1578.75</v>
      </c>
      <c r="F767" s="28">
        <f t="shared" si="51"/>
        <v>-1578.75</v>
      </c>
      <c r="G767">
        <f t="shared" si="52"/>
        <v>2026</v>
      </c>
      <c r="H767">
        <f t="shared" si="53"/>
        <v>5</v>
      </c>
      <c r="I767">
        <f t="shared" si="54"/>
        <v>2</v>
      </c>
    </row>
    <row r="768" spans="1:9" x14ac:dyDescent="0.25">
      <c r="A768" s="29" t="s">
        <v>122</v>
      </c>
      <c r="B768" s="29" t="s">
        <v>10</v>
      </c>
      <c r="C768" s="29" t="s">
        <v>11</v>
      </c>
      <c r="D768" s="30">
        <v>163542.5</v>
      </c>
      <c r="E768" s="29">
        <v>0</v>
      </c>
      <c r="F768" s="28">
        <f t="shared" si="51"/>
        <v>163542.5</v>
      </c>
      <c r="G768">
        <f t="shared" si="52"/>
        <v>2026</v>
      </c>
      <c r="H768">
        <f t="shared" si="53"/>
        <v>5</v>
      </c>
      <c r="I768">
        <f t="shared" si="54"/>
        <v>2</v>
      </c>
    </row>
    <row r="769" spans="1:9" x14ac:dyDescent="0.25">
      <c r="A769" s="29" t="s">
        <v>122</v>
      </c>
      <c r="B769" s="29" t="s">
        <v>10</v>
      </c>
      <c r="C769" s="29" t="s">
        <v>11</v>
      </c>
      <c r="D769" s="30">
        <v>6020</v>
      </c>
      <c r="E769" s="29">
        <v>0</v>
      </c>
      <c r="F769" s="28">
        <f t="shared" si="51"/>
        <v>6020</v>
      </c>
      <c r="G769">
        <f t="shared" si="52"/>
        <v>2026</v>
      </c>
      <c r="H769">
        <f t="shared" si="53"/>
        <v>5</v>
      </c>
      <c r="I769">
        <f t="shared" si="54"/>
        <v>2</v>
      </c>
    </row>
    <row r="770" spans="1:9" x14ac:dyDescent="0.25">
      <c r="A770" s="29" t="s">
        <v>122</v>
      </c>
      <c r="B770" s="29" t="s">
        <v>10</v>
      </c>
      <c r="C770" s="29" t="s">
        <v>11</v>
      </c>
      <c r="D770" s="30">
        <v>9650</v>
      </c>
      <c r="E770" s="29">
        <v>0</v>
      </c>
      <c r="F770" s="28">
        <f t="shared" si="51"/>
        <v>9650</v>
      </c>
      <c r="G770">
        <f t="shared" si="52"/>
        <v>2026</v>
      </c>
      <c r="H770">
        <f t="shared" si="53"/>
        <v>5</v>
      </c>
      <c r="I770">
        <f t="shared" si="54"/>
        <v>2</v>
      </c>
    </row>
    <row r="771" spans="1:9" x14ac:dyDescent="0.25">
      <c r="A771" s="29" t="s">
        <v>122</v>
      </c>
      <c r="B771" s="29" t="s">
        <v>10</v>
      </c>
      <c r="C771" s="29" t="s">
        <v>11</v>
      </c>
      <c r="D771" s="30">
        <v>15000</v>
      </c>
      <c r="E771" s="29">
        <v>0</v>
      </c>
      <c r="F771" s="28">
        <f t="shared" si="51"/>
        <v>15000</v>
      </c>
      <c r="G771">
        <f t="shared" si="52"/>
        <v>2026</v>
      </c>
      <c r="H771">
        <f t="shared" si="53"/>
        <v>5</v>
      </c>
      <c r="I771">
        <f t="shared" si="54"/>
        <v>2</v>
      </c>
    </row>
    <row r="772" spans="1:9" x14ac:dyDescent="0.25">
      <c r="A772" s="29" t="s">
        <v>122</v>
      </c>
      <c r="B772" s="29" t="s">
        <v>10</v>
      </c>
      <c r="C772" s="29" t="s">
        <v>11</v>
      </c>
      <c r="D772" s="30">
        <v>13030</v>
      </c>
      <c r="E772" s="29">
        <v>0</v>
      </c>
      <c r="F772" s="28">
        <f t="shared" si="51"/>
        <v>13030</v>
      </c>
      <c r="G772">
        <f t="shared" si="52"/>
        <v>2026</v>
      </c>
      <c r="H772">
        <f t="shared" si="53"/>
        <v>5</v>
      </c>
      <c r="I772">
        <f t="shared" si="54"/>
        <v>2</v>
      </c>
    </row>
    <row r="773" spans="1:9" x14ac:dyDescent="0.25">
      <c r="A773" s="29" t="s">
        <v>122</v>
      </c>
      <c r="B773" s="29" t="s">
        <v>10</v>
      </c>
      <c r="C773" s="29" t="s">
        <v>13</v>
      </c>
      <c r="D773" s="30">
        <v>24531.37</v>
      </c>
      <c r="E773" s="29">
        <v>0</v>
      </c>
      <c r="F773" s="28">
        <f t="shared" si="51"/>
        <v>24531.37</v>
      </c>
      <c r="G773">
        <f t="shared" si="52"/>
        <v>2026</v>
      </c>
      <c r="H773">
        <f t="shared" si="53"/>
        <v>5</v>
      </c>
      <c r="I773">
        <f t="shared" si="54"/>
        <v>2</v>
      </c>
    </row>
    <row r="774" spans="1:9" x14ac:dyDescent="0.25">
      <c r="A774" s="29" t="s">
        <v>122</v>
      </c>
      <c r="B774" s="29" t="s">
        <v>10</v>
      </c>
      <c r="C774" s="29" t="s">
        <v>13</v>
      </c>
      <c r="D774" s="30">
        <v>903</v>
      </c>
      <c r="E774" s="29">
        <v>0</v>
      </c>
      <c r="F774" s="28">
        <f t="shared" si="51"/>
        <v>903</v>
      </c>
      <c r="G774">
        <f t="shared" si="52"/>
        <v>2026</v>
      </c>
      <c r="H774">
        <f t="shared" si="53"/>
        <v>5</v>
      </c>
      <c r="I774">
        <f t="shared" si="54"/>
        <v>2</v>
      </c>
    </row>
    <row r="775" spans="1:9" x14ac:dyDescent="0.25">
      <c r="A775" s="29" t="s">
        <v>122</v>
      </c>
      <c r="B775" s="29" t="s">
        <v>10</v>
      </c>
      <c r="C775" s="29" t="s">
        <v>13</v>
      </c>
      <c r="D775" s="30">
        <v>1447.5</v>
      </c>
      <c r="E775" s="29">
        <v>0</v>
      </c>
      <c r="F775" s="28">
        <f t="shared" si="51"/>
        <v>1447.5</v>
      </c>
      <c r="G775">
        <f t="shared" si="52"/>
        <v>2026</v>
      </c>
      <c r="H775">
        <f t="shared" si="53"/>
        <v>5</v>
      </c>
      <c r="I775">
        <f t="shared" si="54"/>
        <v>2</v>
      </c>
    </row>
    <row r="776" spans="1:9" x14ac:dyDescent="0.25">
      <c r="A776" s="29" t="s">
        <v>122</v>
      </c>
      <c r="B776" s="29" t="s">
        <v>10</v>
      </c>
      <c r="C776" s="29" t="s">
        <v>13</v>
      </c>
      <c r="D776" s="30">
        <v>2250</v>
      </c>
      <c r="E776" s="29">
        <v>0</v>
      </c>
      <c r="F776" s="28">
        <f t="shared" si="51"/>
        <v>2250</v>
      </c>
      <c r="G776">
        <f t="shared" si="52"/>
        <v>2026</v>
      </c>
      <c r="H776">
        <f t="shared" si="53"/>
        <v>5</v>
      </c>
      <c r="I776">
        <f t="shared" si="54"/>
        <v>2</v>
      </c>
    </row>
    <row r="777" spans="1:9" x14ac:dyDescent="0.25">
      <c r="A777" s="29" t="s">
        <v>122</v>
      </c>
      <c r="B777" s="29" t="s">
        <v>10</v>
      </c>
      <c r="C777" s="29" t="s">
        <v>13</v>
      </c>
      <c r="D777" s="30">
        <v>1954.5</v>
      </c>
      <c r="E777" s="29">
        <v>0</v>
      </c>
      <c r="F777" s="28">
        <f t="shared" si="51"/>
        <v>1954.5</v>
      </c>
      <c r="G777">
        <f t="shared" si="52"/>
        <v>2026</v>
      </c>
      <c r="H777">
        <f t="shared" si="53"/>
        <v>5</v>
      </c>
      <c r="I777">
        <f t="shared" si="54"/>
        <v>2</v>
      </c>
    </row>
    <row r="778" spans="1:9" x14ac:dyDescent="0.25">
      <c r="A778" s="29" t="s">
        <v>122</v>
      </c>
      <c r="B778" s="29" t="s">
        <v>10</v>
      </c>
      <c r="C778" s="29" t="s">
        <v>12</v>
      </c>
      <c r="D778" s="30">
        <v>14917.76</v>
      </c>
      <c r="E778" s="29">
        <v>0</v>
      </c>
      <c r="F778" s="28">
        <f t="shared" ref="F778:F823" si="55">D778-E778</f>
        <v>14917.76</v>
      </c>
      <c r="G778">
        <f t="shared" ref="G778:G823" si="56">YEAR(A778)</f>
        <v>2026</v>
      </c>
      <c r="H778">
        <f t="shared" ref="H778:H823" si="57">MONTH(A778)</f>
        <v>5</v>
      </c>
      <c r="I778">
        <f t="shared" ref="I778:I823" si="58">ROUNDUP(H778/3,0)</f>
        <v>2</v>
      </c>
    </row>
    <row r="779" spans="1:9" x14ac:dyDescent="0.25">
      <c r="A779" s="29" t="s">
        <v>122</v>
      </c>
      <c r="B779" s="29" t="s">
        <v>14</v>
      </c>
      <c r="C779" s="29" t="s">
        <v>13</v>
      </c>
      <c r="D779" s="30">
        <v>0</v>
      </c>
      <c r="E779" s="29">
        <v>24531.37</v>
      </c>
      <c r="F779" s="28">
        <f t="shared" si="55"/>
        <v>-24531.37</v>
      </c>
      <c r="G779">
        <f t="shared" si="56"/>
        <v>2026</v>
      </c>
      <c r="H779">
        <f t="shared" si="57"/>
        <v>5</v>
      </c>
      <c r="I779">
        <f t="shared" si="58"/>
        <v>2</v>
      </c>
    </row>
    <row r="780" spans="1:9" x14ac:dyDescent="0.25">
      <c r="A780" s="29" t="s">
        <v>122</v>
      </c>
      <c r="B780" s="29" t="s">
        <v>14</v>
      </c>
      <c r="C780" s="29" t="s">
        <v>13</v>
      </c>
      <c r="D780" s="30">
        <v>0</v>
      </c>
      <c r="E780" s="29">
        <v>903</v>
      </c>
      <c r="F780" s="28">
        <f t="shared" si="55"/>
        <v>-903</v>
      </c>
      <c r="G780">
        <f t="shared" si="56"/>
        <v>2026</v>
      </c>
      <c r="H780">
        <f t="shared" si="57"/>
        <v>5</v>
      </c>
      <c r="I780">
        <f t="shared" si="58"/>
        <v>2</v>
      </c>
    </row>
    <row r="781" spans="1:9" x14ac:dyDescent="0.25">
      <c r="A781" s="29" t="s">
        <v>122</v>
      </c>
      <c r="B781" s="29" t="s">
        <v>14</v>
      </c>
      <c r="C781" s="29" t="s">
        <v>13</v>
      </c>
      <c r="D781" s="30">
        <v>0</v>
      </c>
      <c r="E781" s="29">
        <v>1447.5</v>
      </c>
      <c r="F781" s="28">
        <f t="shared" si="55"/>
        <v>-1447.5</v>
      </c>
      <c r="G781">
        <f t="shared" si="56"/>
        <v>2026</v>
      </c>
      <c r="H781">
        <f t="shared" si="57"/>
        <v>5</v>
      </c>
      <c r="I781">
        <f t="shared" si="58"/>
        <v>2</v>
      </c>
    </row>
    <row r="782" spans="1:9" x14ac:dyDescent="0.25">
      <c r="A782" s="29" t="s">
        <v>122</v>
      </c>
      <c r="B782" s="29" t="s">
        <v>14</v>
      </c>
      <c r="C782" s="29" t="s">
        <v>123</v>
      </c>
      <c r="D782" s="30">
        <v>0</v>
      </c>
      <c r="E782" s="29">
        <v>45360</v>
      </c>
      <c r="F782" s="28">
        <f t="shared" si="55"/>
        <v>-45360</v>
      </c>
      <c r="G782">
        <f t="shared" si="56"/>
        <v>2026</v>
      </c>
      <c r="H782">
        <f t="shared" si="57"/>
        <v>5</v>
      </c>
      <c r="I782">
        <f t="shared" si="58"/>
        <v>2</v>
      </c>
    </row>
    <row r="783" spans="1:9" x14ac:dyDescent="0.25">
      <c r="A783" s="29" t="s">
        <v>122</v>
      </c>
      <c r="B783" s="29" t="s">
        <v>14</v>
      </c>
      <c r="C783" s="29" t="s">
        <v>106</v>
      </c>
      <c r="D783" s="30">
        <v>0</v>
      </c>
      <c r="E783" s="29">
        <v>1900</v>
      </c>
      <c r="F783" s="28">
        <f t="shared" si="55"/>
        <v>-1900</v>
      </c>
      <c r="G783">
        <f t="shared" si="56"/>
        <v>2026</v>
      </c>
      <c r="H783">
        <f t="shared" si="57"/>
        <v>5</v>
      </c>
      <c r="I783">
        <f t="shared" si="58"/>
        <v>2</v>
      </c>
    </row>
    <row r="784" spans="1:9" x14ac:dyDescent="0.25">
      <c r="A784" s="29" t="s">
        <v>122</v>
      </c>
      <c r="B784" s="29" t="s">
        <v>14</v>
      </c>
      <c r="C784" s="29" t="s">
        <v>13</v>
      </c>
      <c r="D784" s="30">
        <v>0</v>
      </c>
      <c r="E784" s="29">
        <v>2250</v>
      </c>
      <c r="F784" s="28">
        <f t="shared" si="55"/>
        <v>-2250</v>
      </c>
      <c r="G784">
        <f t="shared" si="56"/>
        <v>2026</v>
      </c>
      <c r="H784">
        <f t="shared" si="57"/>
        <v>5</v>
      </c>
      <c r="I784">
        <f t="shared" si="58"/>
        <v>2</v>
      </c>
    </row>
    <row r="785" spans="1:9" x14ac:dyDescent="0.25">
      <c r="A785" s="29" t="s">
        <v>122</v>
      </c>
      <c r="B785" s="29" t="s">
        <v>14</v>
      </c>
      <c r="C785" s="29" t="s">
        <v>13</v>
      </c>
      <c r="D785" s="30">
        <v>0</v>
      </c>
      <c r="E785" s="29">
        <v>1954.5</v>
      </c>
      <c r="F785" s="28">
        <f t="shared" si="55"/>
        <v>-1954.5</v>
      </c>
      <c r="G785">
        <f t="shared" si="56"/>
        <v>2026</v>
      </c>
      <c r="H785">
        <f t="shared" si="57"/>
        <v>5</v>
      </c>
      <c r="I785">
        <f t="shared" si="58"/>
        <v>2</v>
      </c>
    </row>
    <row r="786" spans="1:9" x14ac:dyDescent="0.25">
      <c r="A786" s="29" t="s">
        <v>122</v>
      </c>
      <c r="B786" s="29" t="s">
        <v>14</v>
      </c>
      <c r="C786" s="29" t="s">
        <v>102</v>
      </c>
      <c r="D786" s="30">
        <v>0</v>
      </c>
      <c r="E786" s="29">
        <v>57760</v>
      </c>
      <c r="F786" s="28">
        <f t="shared" si="55"/>
        <v>-57760</v>
      </c>
      <c r="G786">
        <f t="shared" si="56"/>
        <v>2026</v>
      </c>
      <c r="H786">
        <f t="shared" si="57"/>
        <v>5</v>
      </c>
      <c r="I786">
        <f t="shared" si="58"/>
        <v>2</v>
      </c>
    </row>
    <row r="787" spans="1:9" x14ac:dyDescent="0.25">
      <c r="A787" s="29" t="s">
        <v>122</v>
      </c>
      <c r="B787" s="29" t="s">
        <v>14</v>
      </c>
      <c r="C787" s="29" t="s">
        <v>18</v>
      </c>
      <c r="D787" s="30">
        <v>0</v>
      </c>
      <c r="E787" s="29">
        <v>254.99</v>
      </c>
      <c r="F787" s="28">
        <f t="shared" si="55"/>
        <v>-254.99</v>
      </c>
      <c r="G787">
        <f t="shared" si="56"/>
        <v>2026</v>
      </c>
      <c r="H787">
        <f t="shared" si="57"/>
        <v>5</v>
      </c>
      <c r="I787">
        <f t="shared" si="58"/>
        <v>2</v>
      </c>
    </row>
    <row r="788" spans="1:9" x14ac:dyDescent="0.25">
      <c r="A788" s="29" t="s">
        <v>124</v>
      </c>
      <c r="B788" s="29" t="s">
        <v>10</v>
      </c>
      <c r="C788" s="29" t="s">
        <v>11</v>
      </c>
      <c r="D788" s="30">
        <v>86127</v>
      </c>
      <c r="E788" s="29">
        <v>0</v>
      </c>
      <c r="F788" s="28">
        <f t="shared" si="55"/>
        <v>86127</v>
      </c>
      <c r="G788">
        <f t="shared" si="56"/>
        <v>2026</v>
      </c>
      <c r="H788">
        <f t="shared" si="57"/>
        <v>5</v>
      </c>
      <c r="I788">
        <f t="shared" si="58"/>
        <v>2</v>
      </c>
    </row>
    <row r="789" spans="1:9" x14ac:dyDescent="0.25">
      <c r="A789" s="29" t="s">
        <v>124</v>
      </c>
      <c r="B789" s="29" t="s">
        <v>10</v>
      </c>
      <c r="C789" s="29" t="s">
        <v>11</v>
      </c>
      <c r="D789" s="30">
        <v>29860</v>
      </c>
      <c r="E789" s="29">
        <v>0</v>
      </c>
      <c r="F789" s="28">
        <f t="shared" si="55"/>
        <v>29860</v>
      </c>
      <c r="G789">
        <f t="shared" si="56"/>
        <v>2026</v>
      </c>
      <c r="H789">
        <f t="shared" si="57"/>
        <v>5</v>
      </c>
      <c r="I789">
        <f t="shared" si="58"/>
        <v>2</v>
      </c>
    </row>
    <row r="790" spans="1:9" x14ac:dyDescent="0.25">
      <c r="A790" s="29" t="s">
        <v>124</v>
      </c>
      <c r="B790" s="29" t="s">
        <v>10</v>
      </c>
      <c r="C790" s="29" t="s">
        <v>11</v>
      </c>
      <c r="D790" s="30">
        <v>16560</v>
      </c>
      <c r="E790" s="29">
        <v>0</v>
      </c>
      <c r="F790" s="28">
        <f t="shared" si="55"/>
        <v>16560</v>
      </c>
      <c r="G790">
        <f t="shared" si="56"/>
        <v>2026</v>
      </c>
      <c r="H790">
        <f t="shared" si="57"/>
        <v>5</v>
      </c>
      <c r="I790">
        <f t="shared" si="58"/>
        <v>2</v>
      </c>
    </row>
    <row r="791" spans="1:9" x14ac:dyDescent="0.25">
      <c r="A791" s="29" t="s">
        <v>124</v>
      </c>
      <c r="B791" s="29" t="s">
        <v>10</v>
      </c>
      <c r="C791" s="29" t="s">
        <v>13</v>
      </c>
      <c r="D791" s="30">
        <v>12919.05</v>
      </c>
      <c r="E791" s="29">
        <v>0</v>
      </c>
      <c r="F791" s="28">
        <f t="shared" si="55"/>
        <v>12919.05</v>
      </c>
      <c r="G791">
        <f t="shared" si="56"/>
        <v>2026</v>
      </c>
      <c r="H791">
        <f t="shared" si="57"/>
        <v>5</v>
      </c>
      <c r="I791">
        <f t="shared" si="58"/>
        <v>2</v>
      </c>
    </row>
    <row r="792" spans="1:9" x14ac:dyDescent="0.25">
      <c r="A792" s="29" t="s">
        <v>124</v>
      </c>
      <c r="B792" s="29" t="s">
        <v>10</v>
      </c>
      <c r="C792" s="29" t="s">
        <v>13</v>
      </c>
      <c r="D792" s="30">
        <v>4479</v>
      </c>
      <c r="E792" s="29">
        <v>0</v>
      </c>
      <c r="F792" s="28">
        <f t="shared" si="55"/>
        <v>4479</v>
      </c>
      <c r="G792">
        <f t="shared" si="56"/>
        <v>2026</v>
      </c>
      <c r="H792">
        <f t="shared" si="57"/>
        <v>5</v>
      </c>
      <c r="I792">
        <f t="shared" si="58"/>
        <v>2</v>
      </c>
    </row>
    <row r="793" spans="1:9" x14ac:dyDescent="0.25">
      <c r="A793" s="29" t="s">
        <v>124</v>
      </c>
      <c r="B793" s="29" t="s">
        <v>10</v>
      </c>
      <c r="C793" s="29" t="s">
        <v>13</v>
      </c>
      <c r="D793" s="30">
        <v>2484</v>
      </c>
      <c r="E793" s="29">
        <v>0</v>
      </c>
      <c r="F793" s="28">
        <f t="shared" si="55"/>
        <v>2484</v>
      </c>
      <c r="G793">
        <f t="shared" si="56"/>
        <v>2026</v>
      </c>
      <c r="H793">
        <f t="shared" si="57"/>
        <v>5</v>
      </c>
      <c r="I793">
        <f t="shared" si="58"/>
        <v>2</v>
      </c>
    </row>
    <row r="794" spans="1:9" x14ac:dyDescent="0.25">
      <c r="A794" s="29" t="s">
        <v>124</v>
      </c>
      <c r="B794" s="29" t="s">
        <v>10</v>
      </c>
      <c r="C794" s="29" t="s">
        <v>12</v>
      </c>
      <c r="D794" s="30">
        <v>4292.1400000000003</v>
      </c>
      <c r="E794" s="29">
        <v>0</v>
      </c>
      <c r="F794" s="28">
        <f t="shared" si="55"/>
        <v>4292.1400000000003</v>
      </c>
      <c r="G794">
        <f t="shared" si="56"/>
        <v>2026</v>
      </c>
      <c r="H794">
        <f t="shared" si="57"/>
        <v>5</v>
      </c>
      <c r="I794">
        <f t="shared" si="58"/>
        <v>2</v>
      </c>
    </row>
    <row r="795" spans="1:9" x14ac:dyDescent="0.25">
      <c r="A795" s="29" t="s">
        <v>124</v>
      </c>
      <c r="B795" s="29" t="s">
        <v>10</v>
      </c>
      <c r="C795" s="29" t="s">
        <v>22</v>
      </c>
      <c r="D795" s="30">
        <v>27198.36</v>
      </c>
      <c r="E795" s="29">
        <v>0</v>
      </c>
      <c r="F795" s="28">
        <f t="shared" si="55"/>
        <v>27198.36</v>
      </c>
      <c r="G795">
        <f t="shared" si="56"/>
        <v>2026</v>
      </c>
      <c r="H795">
        <f t="shared" si="57"/>
        <v>5</v>
      </c>
      <c r="I795">
        <f t="shared" si="58"/>
        <v>2</v>
      </c>
    </row>
    <row r="796" spans="1:9" x14ac:dyDescent="0.25">
      <c r="A796" s="29" t="s">
        <v>124</v>
      </c>
      <c r="B796" s="29" t="s">
        <v>10</v>
      </c>
      <c r="C796" s="29" t="s">
        <v>23</v>
      </c>
      <c r="D796" s="30">
        <v>14000000</v>
      </c>
      <c r="E796" s="29">
        <v>0</v>
      </c>
      <c r="F796" s="28">
        <f t="shared" si="55"/>
        <v>14000000</v>
      </c>
      <c r="G796">
        <f t="shared" si="56"/>
        <v>2026</v>
      </c>
      <c r="H796">
        <f t="shared" si="57"/>
        <v>5</v>
      </c>
      <c r="I796">
        <f t="shared" si="58"/>
        <v>2</v>
      </c>
    </row>
    <row r="797" spans="1:9" x14ac:dyDescent="0.25">
      <c r="A797" s="29" t="s">
        <v>124</v>
      </c>
      <c r="B797" s="29" t="s">
        <v>14</v>
      </c>
      <c r="C797" s="29" t="s">
        <v>13</v>
      </c>
      <c r="D797" s="30">
        <v>0</v>
      </c>
      <c r="E797" s="29">
        <v>12919.05</v>
      </c>
      <c r="F797" s="28">
        <f t="shared" si="55"/>
        <v>-12919.05</v>
      </c>
      <c r="G797">
        <f t="shared" si="56"/>
        <v>2026</v>
      </c>
      <c r="H797">
        <f t="shared" si="57"/>
        <v>5</v>
      </c>
      <c r="I797">
        <f t="shared" si="58"/>
        <v>2</v>
      </c>
    </row>
    <row r="798" spans="1:9" x14ac:dyDescent="0.25">
      <c r="A798" s="29" t="s">
        <v>124</v>
      </c>
      <c r="B798" s="29" t="s">
        <v>14</v>
      </c>
      <c r="C798" s="29" t="s">
        <v>20</v>
      </c>
      <c r="D798" s="30">
        <v>0</v>
      </c>
      <c r="E798" s="29">
        <v>363084</v>
      </c>
      <c r="F798" s="28">
        <f t="shared" si="55"/>
        <v>-363084</v>
      </c>
      <c r="G798">
        <f t="shared" si="56"/>
        <v>2026</v>
      </c>
      <c r="H798">
        <f t="shared" si="57"/>
        <v>5</v>
      </c>
      <c r="I798">
        <f t="shared" si="58"/>
        <v>2</v>
      </c>
    </row>
    <row r="799" spans="1:9" x14ac:dyDescent="0.25">
      <c r="A799" s="29" t="s">
        <v>124</v>
      </c>
      <c r="B799" s="29" t="s">
        <v>14</v>
      </c>
      <c r="C799" s="29" t="s">
        <v>13</v>
      </c>
      <c r="D799" s="30">
        <v>0</v>
      </c>
      <c r="E799" s="29">
        <v>4479</v>
      </c>
      <c r="F799" s="28">
        <f t="shared" si="55"/>
        <v>-4479</v>
      </c>
      <c r="G799">
        <f t="shared" si="56"/>
        <v>2026</v>
      </c>
      <c r="H799">
        <f t="shared" si="57"/>
        <v>5</v>
      </c>
      <c r="I799">
        <f t="shared" si="58"/>
        <v>2</v>
      </c>
    </row>
    <row r="800" spans="1:9" x14ac:dyDescent="0.25">
      <c r="A800" s="29" t="s">
        <v>124</v>
      </c>
      <c r="B800" s="29" t="s">
        <v>14</v>
      </c>
      <c r="C800" s="29" t="s">
        <v>13</v>
      </c>
      <c r="D800" s="30">
        <v>0</v>
      </c>
      <c r="E800" s="29">
        <v>2484</v>
      </c>
      <c r="F800" s="28">
        <f t="shared" si="55"/>
        <v>-2484</v>
      </c>
      <c r="G800">
        <f t="shared" si="56"/>
        <v>2026</v>
      </c>
      <c r="H800">
        <f t="shared" si="57"/>
        <v>5</v>
      </c>
      <c r="I800">
        <f t="shared" si="58"/>
        <v>2</v>
      </c>
    </row>
    <row r="801" spans="1:9" x14ac:dyDescent="0.25">
      <c r="A801" s="29" t="s">
        <v>125</v>
      </c>
      <c r="B801" s="29" t="s">
        <v>10</v>
      </c>
      <c r="C801" s="29" t="s">
        <v>11</v>
      </c>
      <c r="D801" s="30">
        <v>100000</v>
      </c>
      <c r="E801" s="29">
        <v>0</v>
      </c>
      <c r="F801" s="28">
        <f t="shared" si="55"/>
        <v>100000</v>
      </c>
      <c r="G801">
        <f t="shared" si="56"/>
        <v>2026</v>
      </c>
      <c r="H801">
        <f t="shared" si="57"/>
        <v>5</v>
      </c>
      <c r="I801">
        <f t="shared" si="58"/>
        <v>2</v>
      </c>
    </row>
    <row r="802" spans="1:9" x14ac:dyDescent="0.25">
      <c r="A802" s="29" t="s">
        <v>125</v>
      </c>
      <c r="B802" s="29" t="s">
        <v>10</v>
      </c>
      <c r="C802" s="29" t="s">
        <v>11</v>
      </c>
      <c r="D802" s="30">
        <v>49419</v>
      </c>
      <c r="E802" s="29">
        <v>0</v>
      </c>
      <c r="F802" s="28">
        <f t="shared" si="55"/>
        <v>49419</v>
      </c>
      <c r="G802">
        <f t="shared" si="56"/>
        <v>2026</v>
      </c>
      <c r="H802">
        <f t="shared" si="57"/>
        <v>5</v>
      </c>
      <c r="I802">
        <f t="shared" si="58"/>
        <v>2</v>
      </c>
    </row>
    <row r="803" spans="1:9" x14ac:dyDescent="0.25">
      <c r="A803" s="29" t="s">
        <v>125</v>
      </c>
      <c r="B803" s="29" t="s">
        <v>10</v>
      </c>
      <c r="C803" s="29" t="s">
        <v>11</v>
      </c>
      <c r="D803" s="30">
        <v>5120</v>
      </c>
      <c r="E803" s="29">
        <v>0</v>
      </c>
      <c r="F803" s="28">
        <f t="shared" si="55"/>
        <v>5120</v>
      </c>
      <c r="G803">
        <f t="shared" si="56"/>
        <v>2026</v>
      </c>
      <c r="H803">
        <f t="shared" si="57"/>
        <v>5</v>
      </c>
      <c r="I803">
        <f t="shared" si="58"/>
        <v>2</v>
      </c>
    </row>
    <row r="804" spans="1:9" x14ac:dyDescent="0.25">
      <c r="A804" s="29" t="s">
        <v>125</v>
      </c>
      <c r="B804" s="29" t="s">
        <v>10</v>
      </c>
      <c r="C804" s="29" t="s">
        <v>13</v>
      </c>
      <c r="D804" s="30">
        <v>256000</v>
      </c>
      <c r="E804" s="29">
        <v>0</v>
      </c>
      <c r="F804" s="28">
        <f t="shared" si="55"/>
        <v>256000</v>
      </c>
      <c r="G804">
        <f t="shared" si="56"/>
        <v>2026</v>
      </c>
      <c r="H804">
        <f t="shared" si="57"/>
        <v>5</v>
      </c>
      <c r="I804">
        <f t="shared" si="58"/>
        <v>2</v>
      </c>
    </row>
    <row r="805" spans="1:9" x14ac:dyDescent="0.25">
      <c r="A805" s="29" t="s">
        <v>125</v>
      </c>
      <c r="B805" s="29" t="s">
        <v>10</v>
      </c>
      <c r="C805" s="29" t="s">
        <v>13</v>
      </c>
      <c r="D805" s="30">
        <v>15000</v>
      </c>
      <c r="E805" s="29">
        <v>0</v>
      </c>
      <c r="F805" s="28">
        <f t="shared" si="55"/>
        <v>15000</v>
      </c>
      <c r="G805">
        <f t="shared" si="56"/>
        <v>2026</v>
      </c>
      <c r="H805">
        <f t="shared" si="57"/>
        <v>5</v>
      </c>
      <c r="I805">
        <f t="shared" si="58"/>
        <v>2</v>
      </c>
    </row>
    <row r="806" spans="1:9" x14ac:dyDescent="0.25">
      <c r="A806" s="29" t="s">
        <v>125</v>
      </c>
      <c r="B806" s="29" t="s">
        <v>10</v>
      </c>
      <c r="C806" s="29" t="s">
        <v>13</v>
      </c>
      <c r="D806" s="30">
        <v>7412.85</v>
      </c>
      <c r="E806" s="29">
        <v>0</v>
      </c>
      <c r="F806" s="28">
        <f t="shared" si="55"/>
        <v>7412.85</v>
      </c>
      <c r="G806">
        <f t="shared" si="56"/>
        <v>2026</v>
      </c>
      <c r="H806">
        <f t="shared" si="57"/>
        <v>5</v>
      </c>
      <c r="I806">
        <f t="shared" si="58"/>
        <v>2</v>
      </c>
    </row>
    <row r="807" spans="1:9" x14ac:dyDescent="0.25">
      <c r="A807" s="29" t="s">
        <v>125</v>
      </c>
      <c r="B807" s="29" t="s">
        <v>10</v>
      </c>
      <c r="C807" s="29" t="s">
        <v>13</v>
      </c>
      <c r="D807" s="30">
        <v>768</v>
      </c>
      <c r="E807" s="29">
        <v>0</v>
      </c>
      <c r="F807" s="28">
        <f t="shared" si="55"/>
        <v>768</v>
      </c>
      <c r="G807">
        <f t="shared" si="56"/>
        <v>2026</v>
      </c>
      <c r="H807">
        <f t="shared" si="57"/>
        <v>5</v>
      </c>
      <c r="I807">
        <f t="shared" si="58"/>
        <v>2</v>
      </c>
    </row>
    <row r="808" spans="1:9" x14ac:dyDescent="0.25">
      <c r="A808" s="29" t="s">
        <v>125</v>
      </c>
      <c r="B808" s="29" t="s">
        <v>10</v>
      </c>
      <c r="C808" s="29" t="s">
        <v>12</v>
      </c>
      <c r="D808" s="30">
        <v>8847.34</v>
      </c>
      <c r="E808" s="29">
        <v>0</v>
      </c>
      <c r="F808" s="28">
        <f t="shared" si="55"/>
        <v>8847.34</v>
      </c>
      <c r="G808">
        <f t="shared" si="56"/>
        <v>2026</v>
      </c>
      <c r="H808">
        <f t="shared" si="57"/>
        <v>5</v>
      </c>
      <c r="I808">
        <f t="shared" si="58"/>
        <v>2</v>
      </c>
    </row>
    <row r="809" spans="1:9" x14ac:dyDescent="0.25">
      <c r="A809" s="29" t="s">
        <v>125</v>
      </c>
      <c r="B809" s="29" t="s">
        <v>14</v>
      </c>
      <c r="C809" s="29" t="s">
        <v>101</v>
      </c>
      <c r="D809" s="30">
        <v>0</v>
      </c>
      <c r="E809" s="29">
        <v>21061</v>
      </c>
      <c r="F809" s="28">
        <f t="shared" si="55"/>
        <v>-21061</v>
      </c>
      <c r="G809">
        <f t="shared" si="56"/>
        <v>2026</v>
      </c>
      <c r="H809">
        <f t="shared" si="57"/>
        <v>5</v>
      </c>
      <c r="I809">
        <f t="shared" si="58"/>
        <v>2</v>
      </c>
    </row>
    <row r="810" spans="1:9" x14ac:dyDescent="0.25">
      <c r="A810" s="29" t="s">
        <v>125</v>
      </c>
      <c r="B810" s="29" t="s">
        <v>14</v>
      </c>
      <c r="C810" s="29" t="s">
        <v>13</v>
      </c>
      <c r="D810" s="30">
        <v>0</v>
      </c>
      <c r="E810" s="29">
        <v>15000</v>
      </c>
      <c r="F810" s="28">
        <f t="shared" si="55"/>
        <v>-15000</v>
      </c>
      <c r="G810">
        <f t="shared" si="56"/>
        <v>2026</v>
      </c>
      <c r="H810">
        <f t="shared" si="57"/>
        <v>5</v>
      </c>
      <c r="I810">
        <f t="shared" si="58"/>
        <v>2</v>
      </c>
    </row>
    <row r="811" spans="1:9" x14ac:dyDescent="0.25">
      <c r="A811" s="29" t="s">
        <v>125</v>
      </c>
      <c r="B811" s="29" t="s">
        <v>14</v>
      </c>
      <c r="C811" s="29" t="s">
        <v>13</v>
      </c>
      <c r="D811" s="30">
        <v>0</v>
      </c>
      <c r="E811" s="29">
        <v>7412.85</v>
      </c>
      <c r="F811" s="28">
        <f t="shared" si="55"/>
        <v>-7412.85</v>
      </c>
      <c r="G811">
        <f t="shared" si="56"/>
        <v>2026</v>
      </c>
      <c r="H811">
        <f t="shared" si="57"/>
        <v>5</v>
      </c>
      <c r="I811">
        <f t="shared" si="58"/>
        <v>2</v>
      </c>
    </row>
    <row r="812" spans="1:9" x14ac:dyDescent="0.25">
      <c r="A812" s="29" t="s">
        <v>125</v>
      </c>
      <c r="B812" s="29" t="s">
        <v>14</v>
      </c>
      <c r="C812" s="29" t="s">
        <v>102</v>
      </c>
      <c r="D812" s="30">
        <v>0</v>
      </c>
      <c r="E812" s="29">
        <v>22500</v>
      </c>
      <c r="F812" s="28">
        <f t="shared" si="55"/>
        <v>-22500</v>
      </c>
      <c r="G812">
        <f t="shared" si="56"/>
        <v>2026</v>
      </c>
      <c r="H812">
        <f t="shared" si="57"/>
        <v>5</v>
      </c>
      <c r="I812">
        <f t="shared" si="58"/>
        <v>2</v>
      </c>
    </row>
    <row r="813" spans="1:9" x14ac:dyDescent="0.25">
      <c r="A813" s="29" t="s">
        <v>125</v>
      </c>
      <c r="B813" s="29" t="s">
        <v>14</v>
      </c>
      <c r="C813" s="29" t="s">
        <v>13</v>
      </c>
      <c r="D813" s="30">
        <v>0</v>
      </c>
      <c r="E813" s="29">
        <v>768</v>
      </c>
      <c r="F813" s="28">
        <f t="shared" si="55"/>
        <v>-768</v>
      </c>
      <c r="G813">
        <f t="shared" si="56"/>
        <v>2026</v>
      </c>
      <c r="H813">
        <f t="shared" si="57"/>
        <v>5</v>
      </c>
      <c r="I813">
        <f t="shared" si="58"/>
        <v>2</v>
      </c>
    </row>
    <row r="814" spans="1:9" x14ac:dyDescent="0.25">
      <c r="A814" s="29" t="s">
        <v>125</v>
      </c>
      <c r="B814" s="29" t="s">
        <v>14</v>
      </c>
      <c r="C814" s="29" t="s">
        <v>20</v>
      </c>
      <c r="D814" s="30">
        <v>0</v>
      </c>
      <c r="E814" s="29">
        <v>28500</v>
      </c>
      <c r="F814" s="28">
        <f t="shared" si="55"/>
        <v>-28500</v>
      </c>
      <c r="G814">
        <f t="shared" si="56"/>
        <v>2026</v>
      </c>
      <c r="H814">
        <f t="shared" si="57"/>
        <v>5</v>
      </c>
      <c r="I814">
        <f t="shared" si="58"/>
        <v>2</v>
      </c>
    </row>
    <row r="815" spans="1:9" x14ac:dyDescent="0.25">
      <c r="A815" s="29" t="s">
        <v>125</v>
      </c>
      <c r="B815" s="29" t="s">
        <v>14</v>
      </c>
      <c r="C815" s="29" t="s">
        <v>23</v>
      </c>
      <c r="D815" s="30">
        <v>0</v>
      </c>
      <c r="E815" s="29">
        <v>467000</v>
      </c>
      <c r="F815" s="28">
        <f t="shared" si="55"/>
        <v>-467000</v>
      </c>
      <c r="G815">
        <f t="shared" si="56"/>
        <v>2026</v>
      </c>
      <c r="H815">
        <f t="shared" si="57"/>
        <v>5</v>
      </c>
      <c r="I815">
        <f t="shared" si="58"/>
        <v>2</v>
      </c>
    </row>
    <row r="816" spans="1:9" x14ac:dyDescent="0.25">
      <c r="A816" s="29" t="s">
        <v>125</v>
      </c>
      <c r="B816" s="29" t="s">
        <v>14</v>
      </c>
      <c r="C816" s="29" t="s">
        <v>13</v>
      </c>
      <c r="D816" s="30">
        <v>0</v>
      </c>
      <c r="E816" s="29">
        <v>256000</v>
      </c>
      <c r="F816" s="28">
        <f t="shared" si="55"/>
        <v>-256000</v>
      </c>
      <c r="G816">
        <f t="shared" si="56"/>
        <v>2026</v>
      </c>
      <c r="H816">
        <f t="shared" si="57"/>
        <v>5</v>
      </c>
      <c r="I816">
        <f t="shared" si="58"/>
        <v>2</v>
      </c>
    </row>
    <row r="817" spans="1:9" x14ac:dyDescent="0.25">
      <c r="A817" s="29" t="s">
        <v>125</v>
      </c>
      <c r="B817" s="29" t="s">
        <v>14</v>
      </c>
      <c r="C817" s="29" t="s">
        <v>23</v>
      </c>
      <c r="D817" s="30">
        <v>0</v>
      </c>
      <c r="E817" s="29">
        <v>14000000</v>
      </c>
      <c r="F817" s="28">
        <f t="shared" si="55"/>
        <v>-14000000</v>
      </c>
      <c r="G817">
        <f t="shared" si="56"/>
        <v>2026</v>
      </c>
      <c r="H817">
        <f t="shared" si="57"/>
        <v>5</v>
      </c>
      <c r="I817">
        <f t="shared" si="58"/>
        <v>2</v>
      </c>
    </row>
    <row r="818" spans="1:9" x14ac:dyDescent="0.25">
      <c r="A818" s="29" t="s">
        <v>125</v>
      </c>
      <c r="B818" s="29" t="s">
        <v>14</v>
      </c>
      <c r="C818" s="29" t="s">
        <v>36</v>
      </c>
      <c r="D818" s="30">
        <v>0</v>
      </c>
      <c r="E818" s="29">
        <v>808</v>
      </c>
      <c r="F818" s="28">
        <f t="shared" si="55"/>
        <v>-808</v>
      </c>
      <c r="G818">
        <f t="shared" si="56"/>
        <v>2026</v>
      </c>
      <c r="H818">
        <f t="shared" si="57"/>
        <v>5</v>
      </c>
      <c r="I818">
        <f t="shared" si="58"/>
        <v>2</v>
      </c>
    </row>
    <row r="819" spans="1:9" x14ac:dyDescent="0.25">
      <c r="A819" s="29" t="s">
        <v>126</v>
      </c>
      <c r="B819" s="29" t="s">
        <v>10</v>
      </c>
      <c r="C819" s="29" t="s">
        <v>11</v>
      </c>
      <c r="D819" s="30">
        <v>900</v>
      </c>
      <c r="E819" s="29">
        <v>0</v>
      </c>
      <c r="F819" s="28">
        <f t="shared" si="55"/>
        <v>900</v>
      </c>
      <c r="G819">
        <f t="shared" si="56"/>
        <v>2026</v>
      </c>
      <c r="H819">
        <f t="shared" si="57"/>
        <v>5</v>
      </c>
      <c r="I819">
        <f t="shared" si="58"/>
        <v>2</v>
      </c>
    </row>
    <row r="820" spans="1:9" x14ac:dyDescent="0.25">
      <c r="A820" s="29" t="s">
        <v>126</v>
      </c>
      <c r="B820" s="29" t="s">
        <v>10</v>
      </c>
      <c r="C820" s="29" t="s">
        <v>13</v>
      </c>
      <c r="D820" s="30">
        <v>135</v>
      </c>
      <c r="E820" s="29">
        <v>0</v>
      </c>
      <c r="F820" s="28">
        <f t="shared" si="55"/>
        <v>135</v>
      </c>
      <c r="G820">
        <f t="shared" si="56"/>
        <v>2026</v>
      </c>
      <c r="H820">
        <f t="shared" si="57"/>
        <v>5</v>
      </c>
      <c r="I820">
        <f t="shared" si="58"/>
        <v>2</v>
      </c>
    </row>
    <row r="821" spans="1:9" x14ac:dyDescent="0.25">
      <c r="A821" s="29" t="s">
        <v>126</v>
      </c>
      <c r="B821" s="29" t="s">
        <v>14</v>
      </c>
      <c r="C821" s="29" t="s">
        <v>13</v>
      </c>
      <c r="D821" s="30">
        <v>0</v>
      </c>
      <c r="E821" s="29">
        <v>135</v>
      </c>
      <c r="F821" s="28">
        <f t="shared" si="55"/>
        <v>-135</v>
      </c>
      <c r="G821">
        <f t="shared" si="56"/>
        <v>2026</v>
      </c>
      <c r="H821">
        <f t="shared" si="57"/>
        <v>5</v>
      </c>
      <c r="I821">
        <f t="shared" si="58"/>
        <v>2</v>
      </c>
    </row>
    <row r="822" spans="1:9" x14ac:dyDescent="0.25">
      <c r="A822" s="29" t="s">
        <v>127</v>
      </c>
      <c r="B822" s="29" t="s">
        <v>14</v>
      </c>
      <c r="C822" s="29" t="s">
        <v>18</v>
      </c>
      <c r="D822" s="30">
        <v>0</v>
      </c>
      <c r="E822" s="29">
        <v>349</v>
      </c>
      <c r="F822" s="28">
        <f t="shared" si="55"/>
        <v>-349</v>
      </c>
      <c r="G822">
        <f t="shared" si="56"/>
        <v>2026</v>
      </c>
      <c r="H822">
        <f t="shared" si="57"/>
        <v>5</v>
      </c>
      <c r="I822">
        <f t="shared" si="58"/>
        <v>2</v>
      </c>
    </row>
    <row r="823" spans="1:9" x14ac:dyDescent="0.25">
      <c r="A823" s="29" t="s">
        <v>127</v>
      </c>
      <c r="B823" s="29" t="s">
        <v>14</v>
      </c>
      <c r="C823" s="29" t="s">
        <v>18</v>
      </c>
      <c r="D823" s="30">
        <v>0</v>
      </c>
      <c r="E823" s="29">
        <v>1272.5999999999999</v>
      </c>
      <c r="F823" s="28">
        <f t="shared" si="55"/>
        <v>-1272.5999999999999</v>
      </c>
      <c r="G823">
        <f t="shared" si="56"/>
        <v>2026</v>
      </c>
      <c r="H823">
        <f t="shared" si="57"/>
        <v>5</v>
      </c>
      <c r="I823">
        <f t="shared" si="58"/>
        <v>2</v>
      </c>
    </row>
  </sheetData>
  <mergeCells count="1">
    <mergeCell ref="A1:I1"/>
  </mergeCells>
  <conditionalFormatting sqref="F4:F104857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sqref="B4:B1048576" xr:uid="{00000000-0002-0000-0000-000000000000}">
      <formula1>"Поступление,Списание"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pane ySplit="9" topLeftCell="A31" activePane="bottomLeft" state="frozen"/>
      <selection pane="bottomLeft" activeCell="G16" sqref="G16"/>
    </sheetView>
  </sheetViews>
  <sheetFormatPr defaultRowHeight="15" x14ac:dyDescent="0.25"/>
  <cols>
    <col min="1" max="1" width="6" customWidth="1"/>
    <col min="2" max="2" width="16" customWidth="1"/>
    <col min="3" max="5" width="15" customWidth="1"/>
    <col min="6" max="7" width="18" customWidth="1"/>
    <col min="9" max="9" width="28" customWidth="1"/>
    <col min="10" max="10" width="15" customWidth="1"/>
    <col min="12" max="12" width="28" customWidth="1"/>
    <col min="13" max="13" width="15" customWidth="1"/>
  </cols>
  <sheetData>
    <row r="1" spans="1:13" ht="23.25" x14ac:dyDescent="0.35">
      <c r="A1" s="4" t="s">
        <v>40</v>
      </c>
    </row>
    <row r="2" spans="1:13" x14ac:dyDescent="0.25">
      <c r="D2" s="5" t="s">
        <v>4</v>
      </c>
      <c r="E2" s="5" t="s">
        <v>5</v>
      </c>
      <c r="F2" s="5" t="s">
        <v>6</v>
      </c>
      <c r="G2" s="5" t="s">
        <v>41</v>
      </c>
    </row>
    <row r="3" spans="1:13" x14ac:dyDescent="0.25">
      <c r="A3" t="s">
        <v>7</v>
      </c>
      <c r="B3">
        <v>2026</v>
      </c>
      <c r="C3" s="6"/>
      <c r="D3" s="6">
        <f>SUMIFS(Ops!$D:$D,Ops!$G:$G,$B$3)</f>
        <v>80226191.199999988</v>
      </c>
      <c r="E3" s="6">
        <f>SUMIFS(Ops!$E:$E,Ops!$G:$G,$B$3)</f>
        <v>81065606.909999996</v>
      </c>
      <c r="F3" s="6">
        <f>D3-E3</f>
        <v>-839415.71000000834</v>
      </c>
      <c r="G3" s="6">
        <f>B4+F3</f>
        <v>456872.76999999164</v>
      </c>
      <c r="J3" s="6"/>
      <c r="M3" s="6"/>
    </row>
    <row r="4" spans="1:13" x14ac:dyDescent="0.25">
      <c r="A4" t="s">
        <v>42</v>
      </c>
      <c r="B4" s="6">
        <v>1296288.48</v>
      </c>
      <c r="C4" s="6"/>
      <c r="D4" s="6">
        <f>SUMIFS(Ops!$D:$D,Ops!$G:$G,$B$3,Ops!$I:$I,1)</f>
        <v>0</v>
      </c>
      <c r="E4" s="6">
        <f>SUMIFS(Ops!$E:$E,Ops!$G:$G,$B$3,Ops!$I:$I,1)</f>
        <v>0</v>
      </c>
      <c r="F4" s="6">
        <f>D4-E4</f>
        <v>0</v>
      </c>
      <c r="G4" s="6">
        <f>B4+F4</f>
        <v>1296288.48</v>
      </c>
      <c r="J4" s="6"/>
      <c r="M4" s="6"/>
    </row>
    <row r="5" spans="1:13" x14ac:dyDescent="0.25">
      <c r="A5" t="s">
        <v>43</v>
      </c>
      <c r="B5" s="7">
        <f>MAX(Ops!$A:$A)</f>
        <v>0</v>
      </c>
      <c r="C5" s="6"/>
      <c r="D5" s="6">
        <f>SUMIFS(Ops!$D:$D,Ops!$G:$G,$B$3,Ops!$I:$I,2)</f>
        <v>80226191.199999988</v>
      </c>
      <c r="E5" s="6">
        <f>SUMIFS(Ops!$E:$E,Ops!$G:$G,$B$3,Ops!$I:$I,2)</f>
        <v>81065606.909999996</v>
      </c>
      <c r="F5" s="6">
        <f>D5-E5</f>
        <v>-839415.71000000834</v>
      </c>
      <c r="G5" s="6">
        <f>G4+F5</f>
        <v>456872.76999999164</v>
      </c>
      <c r="J5" s="6"/>
      <c r="M5" s="6"/>
    </row>
    <row r="6" spans="1:13" x14ac:dyDescent="0.25">
      <c r="A6" t="s">
        <v>44</v>
      </c>
      <c r="B6">
        <f>COUNTIF(Ops!$A:$A,"&gt;0")</f>
        <v>0</v>
      </c>
      <c r="C6" s="6"/>
      <c r="D6" s="6">
        <f>SUMIFS(Ops!$D:$D,Ops!$G:$G,$B$3,Ops!$I:$I,3)+SUMIFS(Ops!$D:$D,Ops!$G:$G,$B$3,Ops!$I:$I,4)</f>
        <v>0</v>
      </c>
      <c r="E6" s="6">
        <f>SUMIFS(Ops!$E:$E,Ops!$G:$G,$B$3,Ops!$I:$I,3)+SUMIFS(Ops!$E:$E,Ops!$G:$G,$B$3,Ops!$I:$I,4)</f>
        <v>0</v>
      </c>
      <c r="F6" s="6">
        <f>D6-E6</f>
        <v>0</v>
      </c>
      <c r="G6" s="6">
        <f>G5+F6</f>
        <v>456872.76999999164</v>
      </c>
      <c r="J6" s="6"/>
      <c r="M6" s="6"/>
    </row>
    <row r="7" spans="1:13" x14ac:dyDescent="0.25">
      <c r="C7" s="6"/>
      <c r="D7" s="6"/>
      <c r="E7" s="6"/>
      <c r="F7" s="6"/>
      <c r="J7" s="6"/>
      <c r="M7" s="6"/>
    </row>
    <row r="8" spans="1:13" x14ac:dyDescent="0.25">
      <c r="C8" s="6"/>
      <c r="D8" s="6"/>
      <c r="E8" s="6"/>
      <c r="F8" s="6"/>
      <c r="J8" s="6"/>
      <c r="M8" s="6"/>
    </row>
    <row r="9" spans="1:13" x14ac:dyDescent="0.25">
      <c r="C9" s="6"/>
      <c r="D9" s="6"/>
      <c r="E9" s="6"/>
      <c r="F9" s="6"/>
      <c r="J9" s="6"/>
      <c r="M9" s="6"/>
    </row>
    <row r="10" spans="1:13" x14ac:dyDescent="0.25">
      <c r="A10" s="8" t="s">
        <v>45</v>
      </c>
      <c r="B10" s="8" t="s">
        <v>8</v>
      </c>
      <c r="C10" s="9" t="s">
        <v>4</v>
      </c>
      <c r="D10" s="9" t="s">
        <v>5</v>
      </c>
      <c r="E10" s="9" t="s">
        <v>6</v>
      </c>
      <c r="F10" s="9" t="s">
        <v>41</v>
      </c>
      <c r="I10" s="10" t="s">
        <v>46</v>
      </c>
      <c r="J10" s="6"/>
      <c r="L10" s="10" t="s">
        <v>47</v>
      </c>
      <c r="M10" s="6"/>
    </row>
    <row r="11" spans="1:13" x14ac:dyDescent="0.25">
      <c r="A11">
        <v>1</v>
      </c>
      <c r="B11" t="s">
        <v>48</v>
      </c>
      <c r="C11" s="6">
        <f>SUMIFS(Ops!$D:$D,Ops!$G:$G,$B$3,Ops!$H:$H,A11)</f>
        <v>0</v>
      </c>
      <c r="D11" s="6">
        <f>SUMIFS(Ops!$E:$E,Ops!$G:$G,$B$3,Ops!$H:$H,A11)</f>
        <v>0</v>
      </c>
      <c r="E11" s="6">
        <f t="shared" ref="E11:E22" si="0">C11-D11</f>
        <v>0</v>
      </c>
      <c r="F11" s="6">
        <f>$B$4+SUM($E$11:E11)</f>
        <v>1296288.48</v>
      </c>
      <c r="I11" s="10" t="s">
        <v>3</v>
      </c>
      <c r="J11" s="11" t="s">
        <v>49</v>
      </c>
      <c r="L11" s="10" t="s">
        <v>3</v>
      </c>
      <c r="M11" s="11" t="s">
        <v>49</v>
      </c>
    </row>
    <row r="12" spans="1:13" x14ac:dyDescent="0.25">
      <c r="A12">
        <v>2</v>
      </c>
      <c r="B12" t="s">
        <v>50</v>
      </c>
      <c r="C12" s="6">
        <f>SUMIFS(Ops!$D:$D,Ops!$G:$G,$B$3,Ops!$H:$H,A12)</f>
        <v>0</v>
      </c>
      <c r="D12" s="6">
        <f>SUMIFS(Ops!$E:$E,Ops!$G:$G,$B$3,Ops!$H:$H,A12)</f>
        <v>0</v>
      </c>
      <c r="E12" s="6">
        <f t="shared" si="0"/>
        <v>0</v>
      </c>
      <c r="F12" s="6">
        <f>$B$4+SUM($E$11:E12)</f>
        <v>1296288.48</v>
      </c>
      <c r="I12" t="s">
        <v>23</v>
      </c>
      <c r="J12" s="6">
        <v>14000000</v>
      </c>
      <c r="L12" t="s">
        <v>23</v>
      </c>
      <c r="M12" s="6">
        <v>4000000</v>
      </c>
    </row>
    <row r="13" spans="1:13" x14ac:dyDescent="0.25">
      <c r="A13">
        <v>3</v>
      </c>
      <c r="B13" t="s">
        <v>51</v>
      </c>
      <c r="C13" s="6">
        <f>SUMIFS(Ops!$D:$D,Ops!$G:$G,$B$3,Ops!$H:$H,A13)</f>
        <v>0</v>
      </c>
      <c r="D13" s="6">
        <f>SUMIFS(Ops!$E:$E,Ops!$G:$G,$B$3,Ops!$H:$H,A13)</f>
        <v>0</v>
      </c>
      <c r="E13" s="6">
        <f t="shared" si="0"/>
        <v>0</v>
      </c>
      <c r="F13" s="6">
        <f>$B$4+SUM($E$11:E13)</f>
        <v>1296288.48</v>
      </c>
      <c r="I13" t="s">
        <v>11</v>
      </c>
      <c r="J13" s="6">
        <v>3204561.23</v>
      </c>
      <c r="L13" t="s">
        <v>20</v>
      </c>
      <c r="M13" s="6">
        <v>969078.15999999992</v>
      </c>
    </row>
    <row r="14" spans="1:13" x14ac:dyDescent="0.25">
      <c r="A14">
        <v>4</v>
      </c>
      <c r="B14" t="s">
        <v>52</v>
      </c>
      <c r="C14" s="6">
        <f>SUMIFS(Ops!$D:$D,Ops!$G:$G,$B$3,Ops!$H:$H,A14)</f>
        <v>18560380.329999998</v>
      </c>
      <c r="D14" s="6">
        <f>SUMIFS(Ops!$E:$E,Ops!$G:$G,$B$3,Ops!$H:$H,A14)</f>
        <v>18105117.949999996</v>
      </c>
      <c r="E14" s="6">
        <f t="shared" si="0"/>
        <v>455262.38000000268</v>
      </c>
      <c r="F14" s="6">
        <f>$B$4+SUM($E$11:E14)</f>
        <v>1751550.8600000027</v>
      </c>
      <c r="I14" t="s">
        <v>13</v>
      </c>
      <c r="J14" s="6">
        <v>682550.17999999993</v>
      </c>
      <c r="L14" t="s">
        <v>13</v>
      </c>
      <c r="M14" s="6">
        <v>615013.62</v>
      </c>
    </row>
    <row r="15" spans="1:13" x14ac:dyDescent="0.25">
      <c r="A15">
        <v>5</v>
      </c>
      <c r="B15" t="s">
        <v>53</v>
      </c>
      <c r="C15" s="6">
        <f>SUMIFS(Ops!$D:$D,Ops!$G:$G,$B$3,Ops!$H:$H,A15)</f>
        <v>61665810.86999999</v>
      </c>
      <c r="D15" s="6">
        <f>SUMIFS(Ops!$E:$E,Ops!$G:$G,$B$3,Ops!$H:$H,A15)</f>
        <v>62960488.960000001</v>
      </c>
      <c r="E15" s="6">
        <f t="shared" si="0"/>
        <v>-1294678.090000011</v>
      </c>
      <c r="F15" s="6">
        <f>$B$4+SUM($E$11:E15)</f>
        <v>456872.76999999164</v>
      </c>
      <c r="I15" t="s">
        <v>12</v>
      </c>
      <c r="J15" s="6">
        <v>338668.9</v>
      </c>
      <c r="L15" t="s">
        <v>34</v>
      </c>
      <c r="M15" s="6">
        <v>442938</v>
      </c>
    </row>
    <row r="16" spans="1:13" x14ac:dyDescent="0.25">
      <c r="A16">
        <v>6</v>
      </c>
      <c r="B16" t="s">
        <v>54</v>
      </c>
      <c r="C16" s="6">
        <f>SUMIFS(Ops!$D:$D,Ops!$G:$G,$B$3,Ops!$H:$H,A16)</f>
        <v>0</v>
      </c>
      <c r="D16" s="6">
        <f>SUMIFS(Ops!$E:$E,Ops!$G:$G,$B$3,Ops!$H:$H,A16)</f>
        <v>0</v>
      </c>
      <c r="E16" s="6">
        <f t="shared" si="0"/>
        <v>0</v>
      </c>
      <c r="F16" s="6">
        <f>$B$4+SUM($E$11:E16)</f>
        <v>456872.76999999164</v>
      </c>
      <c r="I16" t="s">
        <v>39</v>
      </c>
      <c r="J16" s="6">
        <v>204000</v>
      </c>
      <c r="L16" t="s">
        <v>26</v>
      </c>
      <c r="M16" s="6">
        <v>400000</v>
      </c>
    </row>
    <row r="17" spans="1:13" x14ac:dyDescent="0.25">
      <c r="A17">
        <v>7</v>
      </c>
      <c r="B17" t="s">
        <v>55</v>
      </c>
      <c r="C17" s="6">
        <f>SUMIFS(Ops!$D:$D,Ops!$G:$G,$B$3,Ops!$H:$H,A17)</f>
        <v>0</v>
      </c>
      <c r="D17" s="6">
        <f>SUMIFS(Ops!$E:$E,Ops!$G:$G,$B$3,Ops!$H:$H,A17)</f>
        <v>0</v>
      </c>
      <c r="E17" s="6">
        <f t="shared" si="0"/>
        <v>0</v>
      </c>
      <c r="F17" s="6">
        <f>$B$4+SUM($E$11:E17)</f>
        <v>456872.76999999164</v>
      </c>
      <c r="I17" t="s">
        <v>22</v>
      </c>
      <c r="J17" s="6">
        <v>128206.02</v>
      </c>
      <c r="L17" t="s">
        <v>27</v>
      </c>
      <c r="M17" s="6">
        <v>227024.2</v>
      </c>
    </row>
    <row r="18" spans="1:13" x14ac:dyDescent="0.25">
      <c r="A18">
        <v>8</v>
      </c>
      <c r="B18" t="s">
        <v>56</v>
      </c>
      <c r="C18" s="6">
        <f>SUMIFS(Ops!$D:$D,Ops!$G:$G,$B$3,Ops!$H:$H,A18)</f>
        <v>0</v>
      </c>
      <c r="D18" s="6">
        <f>SUMIFS(Ops!$E:$E,Ops!$G:$G,$B$3,Ops!$H:$H,A18)</f>
        <v>0</v>
      </c>
      <c r="E18" s="6">
        <f t="shared" si="0"/>
        <v>0</v>
      </c>
      <c r="F18" s="6">
        <f>$B$4+SUM($E$11:E18)</f>
        <v>456872.76999999164</v>
      </c>
      <c r="I18" t="s">
        <v>32</v>
      </c>
      <c r="J18" s="6">
        <v>2180</v>
      </c>
      <c r="L18" t="s">
        <v>25</v>
      </c>
      <c r="M18" s="6">
        <v>149194</v>
      </c>
    </row>
    <row r="19" spans="1:13" x14ac:dyDescent="0.25">
      <c r="A19">
        <v>9</v>
      </c>
      <c r="B19" t="s">
        <v>57</v>
      </c>
      <c r="C19" s="6">
        <f>SUMIFS(Ops!$D:$D,Ops!$G:$G,$B$3,Ops!$H:$H,A19)</f>
        <v>0</v>
      </c>
      <c r="D19" s="6">
        <f>SUMIFS(Ops!$E:$E,Ops!$G:$G,$B$3,Ops!$H:$H,A19)</f>
        <v>0</v>
      </c>
      <c r="E19" s="6">
        <f t="shared" si="0"/>
        <v>0</v>
      </c>
      <c r="F19" s="6">
        <f>$B$4+SUM($E$11:E19)</f>
        <v>456872.76999999164</v>
      </c>
      <c r="I19" t="s">
        <v>37</v>
      </c>
      <c r="J19" s="6">
        <v>214</v>
      </c>
      <c r="L19" t="s">
        <v>21</v>
      </c>
      <c r="M19" s="6">
        <v>123002</v>
      </c>
    </row>
    <row r="20" spans="1:13" x14ac:dyDescent="0.25">
      <c r="A20">
        <v>10</v>
      </c>
      <c r="B20" t="s">
        <v>58</v>
      </c>
      <c r="C20" s="6">
        <f>SUMIFS(Ops!$D:$D,Ops!$G:$G,$B$3,Ops!$H:$H,A20)</f>
        <v>0</v>
      </c>
      <c r="D20" s="6">
        <f>SUMIFS(Ops!$E:$E,Ops!$G:$G,$B$3,Ops!$H:$H,A20)</f>
        <v>0</v>
      </c>
      <c r="E20" s="6">
        <f t="shared" si="0"/>
        <v>0</v>
      </c>
      <c r="F20" s="6">
        <f>$B$4+SUM($E$11:E20)</f>
        <v>456872.76999999164</v>
      </c>
      <c r="J20" s="6"/>
      <c r="L20" t="s">
        <v>15</v>
      </c>
      <c r="M20" s="6">
        <v>117530.76</v>
      </c>
    </row>
    <row r="21" spans="1:13" x14ac:dyDescent="0.25">
      <c r="A21">
        <v>11</v>
      </c>
      <c r="B21" t="s">
        <v>59</v>
      </c>
      <c r="C21" s="6">
        <f>SUMIFS(Ops!$D:$D,Ops!$G:$G,$B$3,Ops!$H:$H,A21)</f>
        <v>0</v>
      </c>
      <c r="D21" s="6">
        <f>SUMIFS(Ops!$E:$E,Ops!$G:$G,$B$3,Ops!$H:$H,A21)</f>
        <v>0</v>
      </c>
      <c r="E21" s="6">
        <f t="shared" si="0"/>
        <v>0</v>
      </c>
      <c r="F21" s="6">
        <f>$B$4+SUM($E$11:E21)</f>
        <v>456872.76999999164</v>
      </c>
      <c r="J21" s="6"/>
      <c r="L21" t="s">
        <v>33</v>
      </c>
      <c r="M21" s="6">
        <v>98000</v>
      </c>
    </row>
    <row r="22" spans="1:13" x14ac:dyDescent="0.25">
      <c r="A22">
        <v>12</v>
      </c>
      <c r="B22" t="s">
        <v>60</v>
      </c>
      <c r="C22" s="6">
        <f>SUMIFS(Ops!$D:$D,Ops!$G:$G,$B$3,Ops!$H:$H,A22)</f>
        <v>0</v>
      </c>
      <c r="D22" s="6">
        <f>SUMIFS(Ops!$E:$E,Ops!$G:$G,$B$3,Ops!$H:$H,A22)</f>
        <v>0</v>
      </c>
      <c r="E22" s="6">
        <f t="shared" si="0"/>
        <v>0</v>
      </c>
      <c r="F22" s="6">
        <f>$B$4+SUM($E$11:E22)</f>
        <v>456872.76999999164</v>
      </c>
      <c r="J22" s="6"/>
      <c r="M22" s="6"/>
    </row>
    <row r="23" spans="1:13" x14ac:dyDescent="0.25">
      <c r="B23" t="s">
        <v>61</v>
      </c>
      <c r="C23" s="6">
        <f>SUM(C11:C22)</f>
        <v>80226191.199999988</v>
      </c>
      <c r="D23" s="6">
        <f>SUM(D11:D22)</f>
        <v>81065606.909999996</v>
      </c>
      <c r="E23" s="6">
        <f>SUM(E11:E22)</f>
        <v>-839415.71000000834</v>
      </c>
      <c r="F23" s="6">
        <f>F22</f>
        <v>456872.76999999164</v>
      </c>
      <c r="J23" s="6"/>
      <c r="M23" s="6"/>
    </row>
    <row r="26" spans="1:13" x14ac:dyDescent="0.25">
      <c r="A26" s="33" t="s">
        <v>62</v>
      </c>
      <c r="B26" s="32"/>
      <c r="C26" s="32"/>
      <c r="D26" s="32"/>
      <c r="E26" s="32"/>
      <c r="F26" s="32"/>
      <c r="G26" s="32"/>
    </row>
    <row r="27" spans="1:13" x14ac:dyDescent="0.25">
      <c r="A27" s="32"/>
      <c r="B27" s="32"/>
      <c r="C27" s="32"/>
      <c r="D27" s="32"/>
      <c r="E27" s="32"/>
      <c r="F27" s="32"/>
      <c r="G27" s="32"/>
    </row>
    <row r="28" spans="1:13" x14ac:dyDescent="0.25">
      <c r="A28" s="32"/>
      <c r="B28" s="32"/>
      <c r="C28" s="32"/>
      <c r="D28" s="32"/>
      <c r="E28" s="32"/>
      <c r="F28" s="32"/>
      <c r="G28" s="32"/>
    </row>
  </sheetData>
  <mergeCells count="1">
    <mergeCell ref="A26:G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Ops</vt:lpstr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Светлана</cp:lastModifiedBy>
  <dcterms:created xsi:type="dcterms:W3CDTF">2026-05-13T09:27:05Z</dcterms:created>
  <dcterms:modified xsi:type="dcterms:W3CDTF">2026-06-05T09:50:59Z</dcterms:modified>
</cp:coreProperties>
</file>