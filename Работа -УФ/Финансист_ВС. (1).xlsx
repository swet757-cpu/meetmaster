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Анна\Desktop\тестовая\Работа -УФ\"/>
    </mc:Choice>
  </mc:AlternateContent>
  <xr:revisionPtr revIDLastSave="0" documentId="13_ncr:1_{1A4C2AAD-71CA-4974-B606-85D68CC6D858}" xr6:coauthVersionLast="36" xr6:coauthVersionMax="47" xr10:uidLastSave="{00000000-0000-0000-0000-000000000000}"/>
  <bookViews>
    <workbookView xWindow="780" yWindow="600" windowWidth="14865" windowHeight="10920" xr2:uid="{00000000-000D-0000-FFFF-FFFF00000000}"/>
  </bookViews>
  <sheets>
    <sheet name="Апрель 26 " sheetId="2" r:id="rId1"/>
  </sheets>
  <definedNames>
    <definedName name="_xlnm._FilterDatabase" localSheetId="0" hidden="1">'Апрель 26 '!$A$5:$AB$180</definedName>
  </definedNames>
  <calcPr calcId="191029"/>
</workbook>
</file>

<file path=xl/calcChain.xml><?xml version="1.0" encoding="utf-8"?>
<calcChain xmlns="http://schemas.openxmlformats.org/spreadsheetml/2006/main">
  <c r="H178" i="2" l="1"/>
  <c r="I178" i="2" s="1"/>
  <c r="I177" i="2"/>
  <c r="H177" i="2"/>
  <c r="H176" i="2"/>
  <c r="I176" i="2" s="1"/>
  <c r="I175" i="2"/>
  <c r="H175" i="2"/>
  <c r="H174" i="2"/>
  <c r="I174" i="2" s="1"/>
  <c r="I173" i="2"/>
  <c r="H173" i="2"/>
  <c r="H172" i="2"/>
  <c r="I172" i="2" s="1"/>
  <c r="H171" i="2"/>
  <c r="I171" i="2" s="1"/>
  <c r="H170" i="2"/>
  <c r="I170" i="2" s="1"/>
  <c r="H169" i="2"/>
  <c r="I169" i="2" s="1"/>
  <c r="H168" i="2"/>
  <c r="I168" i="2" s="1"/>
  <c r="I167" i="2"/>
  <c r="H167" i="2"/>
  <c r="H166" i="2"/>
  <c r="I166" i="2" s="1"/>
  <c r="I165" i="2"/>
  <c r="H165" i="2"/>
  <c r="H164" i="2"/>
  <c r="I164" i="2" s="1"/>
  <c r="H163" i="2"/>
  <c r="I163" i="2" s="1"/>
  <c r="H162" i="2"/>
  <c r="I162" i="2" s="1"/>
  <c r="H161" i="2"/>
  <c r="I161" i="2" s="1"/>
  <c r="I160" i="2"/>
  <c r="H160" i="2"/>
  <c r="H159" i="2"/>
  <c r="I159" i="2" s="1"/>
  <c r="H158" i="2"/>
  <c r="I158" i="2" s="1"/>
  <c r="H157" i="2"/>
  <c r="I157" i="2" s="1"/>
  <c r="I156" i="2"/>
  <c r="H156" i="2"/>
  <c r="H155" i="2"/>
  <c r="I155" i="2" s="1"/>
  <c r="I154" i="2"/>
  <c r="H154" i="2"/>
  <c r="H153" i="2"/>
  <c r="I153" i="2" s="1"/>
  <c r="I152" i="2"/>
  <c r="H152" i="2"/>
  <c r="I151" i="2"/>
  <c r="H151" i="2"/>
  <c r="H150" i="2"/>
  <c r="I150" i="2" s="1"/>
  <c r="I149" i="2"/>
  <c r="H149" i="2"/>
  <c r="I148" i="2"/>
  <c r="H148" i="2"/>
  <c r="H147" i="2"/>
  <c r="I147" i="2" s="1"/>
  <c r="I146" i="2"/>
  <c r="H146" i="2"/>
  <c r="H145" i="2"/>
  <c r="I145" i="2" s="1"/>
  <c r="H144" i="2"/>
  <c r="I144" i="2" s="1"/>
  <c r="I143" i="2"/>
  <c r="H143" i="2"/>
  <c r="H142" i="2"/>
  <c r="I142" i="2" s="1"/>
  <c r="H141" i="2"/>
  <c r="I141" i="2" s="1"/>
  <c r="I140" i="2"/>
  <c r="H140" i="2"/>
  <c r="H139" i="2"/>
  <c r="I139" i="2" s="1"/>
  <c r="H138" i="2"/>
  <c r="I138" i="2" s="1"/>
  <c r="H137" i="2"/>
  <c r="I137" i="2" s="1"/>
  <c r="I136" i="2"/>
  <c r="H136" i="2"/>
  <c r="I135" i="2"/>
  <c r="H135" i="2"/>
  <c r="H134" i="2"/>
  <c r="I134" i="2" s="1"/>
  <c r="I133" i="2"/>
  <c r="H133" i="2"/>
  <c r="I132" i="2"/>
  <c r="H132" i="2"/>
  <c r="H131" i="2"/>
  <c r="I131" i="2" s="1"/>
  <c r="I130" i="2"/>
  <c r="H130" i="2"/>
  <c r="I129" i="2"/>
  <c r="H129" i="2"/>
  <c r="H128" i="2"/>
  <c r="I128" i="2" s="1"/>
  <c r="H127" i="2"/>
  <c r="I127" i="2" s="1"/>
  <c r="I126" i="2"/>
  <c r="H126" i="2"/>
  <c r="H125" i="2"/>
  <c r="I125" i="2" s="1"/>
  <c r="H124" i="2"/>
  <c r="I124" i="2" s="1"/>
  <c r="H123" i="2"/>
  <c r="I123" i="2" s="1"/>
  <c r="I122" i="2"/>
  <c r="H122" i="2"/>
  <c r="I121" i="2"/>
  <c r="H121" i="2"/>
  <c r="H120" i="2"/>
  <c r="I120" i="2" s="1"/>
  <c r="H119" i="2"/>
  <c r="I119" i="2" s="1"/>
  <c r="H118" i="2"/>
  <c r="I118" i="2" s="1"/>
  <c r="H117" i="2"/>
  <c r="I117" i="2" s="1"/>
  <c r="I116" i="2"/>
  <c r="H116" i="2"/>
  <c r="I115" i="2"/>
  <c r="H115" i="2"/>
  <c r="I114" i="2"/>
  <c r="H114" i="2"/>
  <c r="I113" i="2"/>
  <c r="H113" i="2"/>
  <c r="H112" i="2"/>
  <c r="I112" i="2" s="1"/>
  <c r="H111" i="2"/>
  <c r="I111" i="2" s="1"/>
  <c r="H110" i="2"/>
  <c r="I110" i="2" s="1"/>
  <c r="H109" i="2"/>
  <c r="I109" i="2" s="1"/>
  <c r="H108" i="2"/>
  <c r="I108" i="2" s="1"/>
  <c r="I107" i="2"/>
  <c r="H107" i="2"/>
  <c r="H106" i="2"/>
  <c r="I106" i="2" s="1"/>
  <c r="H105" i="2"/>
  <c r="I105" i="2" s="1"/>
  <c r="H104" i="2"/>
  <c r="I104" i="2" s="1"/>
  <c r="I103" i="2"/>
  <c r="H103" i="2"/>
  <c r="H102" i="2"/>
  <c r="I102" i="2" s="1"/>
  <c r="I101" i="2"/>
  <c r="H101" i="2"/>
  <c r="B101" i="2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I100" i="2"/>
  <c r="H100" i="2"/>
  <c r="H99" i="2"/>
  <c r="I99" i="2" s="1"/>
  <c r="I98" i="2"/>
  <c r="H98" i="2"/>
  <c r="H97" i="2"/>
  <c r="I97" i="2" s="1"/>
  <c r="I96" i="2"/>
  <c r="H96" i="2"/>
  <c r="H95" i="2"/>
  <c r="I95" i="2" s="1"/>
  <c r="I94" i="2"/>
  <c r="H94" i="2"/>
  <c r="H93" i="2"/>
  <c r="I93" i="2" s="1"/>
  <c r="H92" i="2"/>
  <c r="I92" i="2" s="1"/>
  <c r="I91" i="2"/>
  <c r="H91" i="2"/>
  <c r="H90" i="2"/>
  <c r="I90" i="2" s="1"/>
  <c r="I89" i="2"/>
  <c r="H89" i="2"/>
  <c r="I88" i="2"/>
  <c r="H88" i="2"/>
  <c r="I87" i="2"/>
  <c r="H87" i="2"/>
  <c r="H85" i="2"/>
  <c r="I85" i="2" s="1"/>
  <c r="I84" i="2"/>
  <c r="H84" i="2"/>
  <c r="I83" i="2"/>
  <c r="H83" i="2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I73" i="2"/>
  <c r="H73" i="2"/>
  <c r="I72" i="2"/>
  <c r="H72" i="2"/>
  <c r="I71" i="2"/>
  <c r="H71" i="2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I64" i="2"/>
  <c r="H64" i="2"/>
  <c r="I63" i="2"/>
  <c r="H63" i="2"/>
  <c r="I62" i="2"/>
  <c r="H62" i="2"/>
  <c r="H61" i="2"/>
  <c r="I61" i="2" s="1"/>
  <c r="H60" i="2"/>
  <c r="I60" i="2" s="1"/>
  <c r="H59" i="2"/>
  <c r="I59" i="2" s="1"/>
  <c r="H58" i="2"/>
  <c r="I58" i="2" s="1"/>
  <c r="H57" i="2"/>
  <c r="I57" i="2" s="1"/>
  <c r="I56" i="2"/>
  <c r="H56" i="2"/>
  <c r="H55" i="2"/>
  <c r="I55" i="2" s="1"/>
  <c r="H54" i="2"/>
  <c r="I54" i="2" s="1"/>
  <c r="I53" i="2"/>
  <c r="H53" i="2"/>
  <c r="I52" i="2"/>
  <c r="H52" i="2"/>
  <c r="I51" i="2"/>
  <c r="H51" i="2"/>
  <c r="H50" i="2"/>
  <c r="I50" i="2" s="1"/>
  <c r="H49" i="2"/>
  <c r="I49" i="2" s="1"/>
  <c r="I48" i="2"/>
  <c r="H48" i="2"/>
  <c r="H47" i="2"/>
  <c r="I47" i="2" s="1"/>
  <c r="H46" i="2"/>
  <c r="I46" i="2" s="1"/>
  <c r="I45" i="2"/>
  <c r="H45" i="2"/>
  <c r="H44" i="2"/>
  <c r="I44" i="2" s="1"/>
  <c r="I43" i="2"/>
  <c r="H43" i="2"/>
  <c r="H42" i="2"/>
  <c r="I42" i="2" s="1"/>
  <c r="H41" i="2"/>
  <c r="I41" i="2" s="1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H30" i="2"/>
  <c r="I30" i="2" s="1"/>
  <c r="I29" i="2"/>
  <c r="H29" i="2"/>
  <c r="I28" i="2"/>
  <c r="H28" i="2"/>
  <c r="H27" i="2"/>
  <c r="I27" i="2" s="1"/>
  <c r="H26" i="2"/>
  <c r="I26" i="2" s="1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B177" i="2" l="1"/>
  <c r="B178" i="2" s="1"/>
  <c r="B174" i="2"/>
  <c r="B175" i="2" s="1"/>
  <c r="B176" i="2" s="1"/>
  <c r="E189" i="2"/>
  <c r="H179" i="2"/>
  <c r="F190" i="2" s="1"/>
  <c r="I179" i="2"/>
  <c r="F192" i="2" l="1"/>
  <c r="F188" i="2"/>
  <c r="E188" i="2"/>
  <c r="E191" i="2"/>
  <c r="F191" i="2"/>
  <c r="E192" i="2"/>
  <c r="F189" i="2"/>
  <c r="E193" i="2"/>
  <c r="F187" i="2"/>
  <c r="E187" i="2"/>
  <c r="E190" i="2"/>
  <c r="F193" i="2"/>
</calcChain>
</file>

<file path=xl/sharedStrings.xml><?xml version="1.0" encoding="utf-8"?>
<sst xmlns="http://schemas.openxmlformats.org/spreadsheetml/2006/main" count="367" uniqueCount="188">
  <si>
    <t>Финансовые услуги</t>
  </si>
  <si>
    <t>№ п/п</t>
  </si>
  <si>
    <t>Дата</t>
  </si>
  <si>
    <t>Контрагент</t>
  </si>
  <si>
    <t>Наименование работ</t>
  </si>
  <si>
    <t>Время начала</t>
  </si>
  <si>
    <t>Время окончания</t>
  </si>
  <si>
    <t>Количество часов</t>
  </si>
  <si>
    <t>Стоимость</t>
  </si>
  <si>
    <t>УФ</t>
  </si>
  <si>
    <t xml:space="preserve">Созвон по платежному календарю с Ириной В. изменения по договору Решин, проверка чата, </t>
  </si>
  <si>
    <t xml:space="preserve">внесение договора в реестр договоров, доп соглашений  в платежный календарь и корректировка сумм в платежном календаре </t>
  </si>
  <si>
    <t xml:space="preserve">созвон с Е.Кузнецовой по проводу организации работы в ПК </t>
  </si>
  <si>
    <t>проверка чата в течении дня, внесение данных в платежный календарь</t>
  </si>
  <si>
    <t>проверка чата</t>
  </si>
  <si>
    <t xml:space="preserve">запрос у первичника банковских сумм по кредитам </t>
  </si>
  <si>
    <t>проверка чатов, по письму разнесение договора займа между организациями</t>
  </si>
  <si>
    <t xml:space="preserve">проверка чата, на созданые оплаты </t>
  </si>
  <si>
    <t xml:space="preserve">отправка ответа собственнику, ранее была поставлена задача бухгалтерии по налогам </t>
  </si>
  <si>
    <t>Созвон с Ириной В.-  договора аренда , задолжности</t>
  </si>
  <si>
    <t xml:space="preserve">Созвон с Ириной В.- платежный календарь проверка, сумм к оплате </t>
  </si>
  <si>
    <t>Решаем вопрос с диадоком, не все суммы отражаются в программе</t>
  </si>
  <si>
    <t>проверка чата, проверка оплат</t>
  </si>
  <si>
    <t>Платежный календарь с бухгалтером, реквизиты и счета</t>
  </si>
  <si>
    <t>Проверка чата (счета на оплату)</t>
  </si>
  <si>
    <t xml:space="preserve">Созвон с Ириной В. </t>
  </si>
  <si>
    <t>Проверка платежного календаря, бухгалтер при внесение счета на оплату отмечает цветом</t>
  </si>
  <si>
    <t>Созвон с Ириной В. организация работы в платежном календаре</t>
  </si>
  <si>
    <t>Проверка чата переписка по договорам займа</t>
  </si>
  <si>
    <t>Созвон с Александрой платежки в банк</t>
  </si>
  <si>
    <t>Проверка чата</t>
  </si>
  <si>
    <t>Созвон с Ириной В. организация работы в платежном календаре, документы в диадоке (архив от бухгалтерии)</t>
  </si>
  <si>
    <t>проверка чата, банковские выписки -как применить в реестре платежей</t>
  </si>
  <si>
    <t xml:space="preserve">проверка чата, оплата за предыдущую неделю </t>
  </si>
  <si>
    <t xml:space="preserve">проверка чата,согласование заведения новых займов, налоговые риски </t>
  </si>
  <si>
    <t xml:space="preserve">Созвон с Ириной- новые договора и возможности разнесения рееста </t>
  </si>
  <si>
    <t xml:space="preserve">проверка чата, отправленных и внесенных счетов. </t>
  </si>
  <si>
    <t>внесение договоров в таблицу, сверка с банком</t>
  </si>
  <si>
    <t>внесения нового договора займа в 2 таблицы (свод и выдача и погашение)</t>
  </si>
  <si>
    <t>проверка чата, файл реализация квартир</t>
  </si>
  <si>
    <t xml:space="preserve">Отчет за 2025 год, сбор данных из 1С, внесение в файл  БДР ноябрь 2025 </t>
  </si>
  <si>
    <t xml:space="preserve">Отчет за 2025 год, сбор данных из 1С, внесение в файл  БДР декабрь 2025 </t>
  </si>
  <si>
    <t>проверка и корректировка остатков с июня 2025- не идет с программой</t>
  </si>
  <si>
    <t xml:space="preserve">ДДС за март 2026, сводная по статьям , проверка предыдущих периодов </t>
  </si>
  <si>
    <t xml:space="preserve">Обсуждение регламента по реестру платжного календаря с Людмилой </t>
  </si>
  <si>
    <t>проверка оплат из почты с Александрой 2025 год договор 9091 -аренда, созвон с Демир</t>
  </si>
  <si>
    <t xml:space="preserve">Созвон с Ириной- проверка договора и оплат </t>
  </si>
  <si>
    <t>оддс за март, Арктика</t>
  </si>
  <si>
    <t xml:space="preserve">проверка чата- оплаты и регламенты в старом битрексе все пропало, в новом битрекс, ничего нет Созвон с Ириной по поводу оплат и с НЖС- был заблокрован, с Демир- уточнения по регламенту время ответа на запрос клиента. </t>
  </si>
  <si>
    <t>проверка чата, попытка выяснить кто  и что видит в чате, я не могу писать в чат , разблокировали ли НЖС</t>
  </si>
  <si>
    <t>новое предложение по внесению счетов (пробовала в платежом календаре)</t>
  </si>
  <si>
    <t>созвон с бухгалтером Кузнецовой Еленой налоги 1 квартал 2026</t>
  </si>
  <si>
    <t xml:space="preserve">проверка ошибок по ДДС февраль март 2026 </t>
  </si>
  <si>
    <t xml:space="preserve">Проверка чата, платежный календарь на сегодня </t>
  </si>
  <si>
    <t xml:space="preserve">обсуждение уменьшения ОПН для НЖС, расчет предварительный </t>
  </si>
  <si>
    <t>требования от налоговой , написала Кузнецовой ошибки были в прошлом месяце те же</t>
  </si>
  <si>
    <t xml:space="preserve">созвон с Юлией  -ответ на требования от налоговой №8899, 8780, созвон с Юлией </t>
  </si>
  <si>
    <t xml:space="preserve">созвон с Ириной, сидят без интернета, обсудили требования налоговой и снижение налогов по НЖС, ошибки в оплате аренды </t>
  </si>
  <si>
    <t>общение в чате с Александрой, платежный календарь, выгрузки из диадок</t>
  </si>
  <si>
    <t>общаемся в чате с Александрой по аренде ОКТМО, ответ на запрос</t>
  </si>
  <si>
    <t>Платежный календарь с Ириной , реквизиты и счета</t>
  </si>
  <si>
    <t>ИТОГО</t>
  </si>
  <si>
    <t>Итого</t>
  </si>
  <si>
    <t xml:space="preserve">Часов </t>
  </si>
  <si>
    <t xml:space="preserve">новый продукт, определение клиентов, </t>
  </si>
  <si>
    <t>сбор и отправка документов на корпоротивную почту, презентация и пример платежного календаря</t>
  </si>
  <si>
    <t>Пыталась найти базы  двух компаний, выясняла с бухгалтерией</t>
  </si>
  <si>
    <t xml:space="preserve">Созвон с Мирошниченко Людмилой </t>
  </si>
  <si>
    <t>Созвон в чате финанстист</t>
  </si>
  <si>
    <t xml:space="preserve">оперативка по новому продукту </t>
  </si>
  <si>
    <t>созвон с финансистом</t>
  </si>
  <si>
    <t xml:space="preserve">созвон </t>
  </si>
  <si>
    <t>коммерческое предложение для компании Арни</t>
  </si>
  <si>
    <t>Уралсувернир- созвон, создать общую таблицу на яндекс диске (Марина), Я  к 16.04.2026 факт за апрель, предварительный план на май</t>
  </si>
  <si>
    <t>Собрание финансистов</t>
  </si>
  <si>
    <t xml:space="preserve">Созвон по продукту с отделом продаж </t>
  </si>
  <si>
    <t>Созвон с руководителем</t>
  </si>
  <si>
    <t xml:space="preserve">УРС- переназначили встречу с директорм </t>
  </si>
  <si>
    <t xml:space="preserve">Таблица для бухгалтеров и разработка ехсел-файла для заполнения </t>
  </si>
  <si>
    <t>Созвон с Людмилой обсуждение формы таблицы для бухгалтеров</t>
  </si>
  <si>
    <t>УРС- созвон в битрекс</t>
  </si>
  <si>
    <t xml:space="preserve">обсуждение нового продукта  с ГБ и отделом продаж </t>
  </si>
  <si>
    <t>работа с документами (наведение порядка в папках)</t>
  </si>
  <si>
    <t>совещание финансистов</t>
  </si>
  <si>
    <t>чат с УРС- ошибки при переносе остатков ( ваш ID)</t>
  </si>
  <si>
    <t xml:space="preserve"> составление план-шаблона для начала внедрения продуктов, чек-лист</t>
  </si>
  <si>
    <t>УРС -предоставили доступ к СБИС  и гугл таблице</t>
  </si>
  <si>
    <t xml:space="preserve">созвон с Демир +Мирошниченко </t>
  </si>
  <si>
    <t xml:space="preserve">созвон с Людмилой -справочники и статьи с ДДС -структура </t>
  </si>
  <si>
    <t xml:space="preserve">внесение выполненых работ по новому продукту в чат, </t>
  </si>
  <si>
    <t xml:space="preserve">УРС- работа с таблицей заказчика, узучение программы </t>
  </si>
  <si>
    <t xml:space="preserve">подготовила вопросы для УРС по программе и в форме </t>
  </si>
  <si>
    <t xml:space="preserve">проверила формы отчетов - для нового продукта </t>
  </si>
  <si>
    <t xml:space="preserve">УРС- созвон в битрекс- перенесли встречу </t>
  </si>
  <si>
    <t>новые функции в системе финансовый директор (изучение)</t>
  </si>
  <si>
    <t xml:space="preserve">по новому продукту приветственное сообщение, варианты развития событий </t>
  </si>
  <si>
    <t xml:space="preserve">созвон Людмила </t>
  </si>
  <si>
    <t>Анализ работы финансиста с помощью нейросети</t>
  </si>
  <si>
    <t xml:space="preserve">в битрексе -настройки </t>
  </si>
  <si>
    <t xml:space="preserve">созвон с Татьяна ДТД УРС, АЛТР- проверка заполнения сделки , как удобнее связываться и чем компания занимаеться </t>
  </si>
  <si>
    <t xml:space="preserve">АЛТР зантересовала только предложение по оптимизации налогов </t>
  </si>
  <si>
    <t>Созвон с собствеником Тарасом П АЛТР- не понятен продукт , хочется наглядно, ведет платежный календарь на гугл таблицах , в налогах разбирается лучше бухгалтерии</t>
  </si>
  <si>
    <t xml:space="preserve">выставление счета и пояснение для ИП Неп необходимость оплатить счет за март, так как банковские выписка были выгруженные только 2 марта в первый рабочий день, отчет за февраль бы сформирован только 3 марта и отправлен Литвиновой Юлии, которая отказалась с нами сотрудничать в марте. </t>
  </si>
  <si>
    <t xml:space="preserve">разьяснение ИП Неп- что оплата за февраль не могла быть включена в февраль, так как работы были сделаны фактически в марте, счет выставлен по факту. Расчет сумм предварительно не возможен, поскольку фактические работы за февраль были оплачены не в полном обьеме. </t>
  </si>
  <si>
    <t xml:space="preserve">не дозвонилась до Фад, написала в чате ТД УРС- проверка как заполнена сделка  , какая система налогообложения </t>
  </si>
  <si>
    <t>Ф-тэк выясняю кто бухгалтер</t>
  </si>
  <si>
    <t xml:space="preserve">Ф-тэк, сбор информации по клиенту, созвон- коротко кто я и что я хочу. Подготовка письма дляЛитвиновских Алексея с описанием нашего нового продукта , приложила презентпцию исправленную и образец платежного календаря. </t>
  </si>
  <si>
    <t xml:space="preserve">ТД УРС Составление письма для Фад Дениса Сергеевича, так как не отвечает в чате </t>
  </si>
  <si>
    <t>ТД УРС корректировка  письма для Фад Дениса Сергеевича, , написала в чат более развернуто</t>
  </si>
  <si>
    <t xml:space="preserve">УС- просмотр информации по клиенту </t>
  </si>
  <si>
    <t>УС- созвон с собственником -Мариной, дружелюбно настроена</t>
  </si>
  <si>
    <t>УС- подготовила письмо с вложеним презентации и образец ПК</t>
  </si>
  <si>
    <t xml:space="preserve">созвон с УС Марина, собственник 2 тариф, для ПК нужно сделать справочник контрагентов по договорам </t>
  </si>
  <si>
    <t>УС насторойка удаленного рабочего места</t>
  </si>
  <si>
    <t>УС- изучение базы, отчетов , настоек</t>
  </si>
  <si>
    <t xml:space="preserve">УС Выгрузка банковской выписки и создание сводной таблица по статьям ДДС </t>
  </si>
  <si>
    <t>УС- Форма для платежного календаря на 2 квартал</t>
  </si>
  <si>
    <t xml:space="preserve">УС-Создание справочника по статьям ДДС </t>
  </si>
  <si>
    <t xml:space="preserve">УС созвон с  глав.бухом есть ли справочник в программе </t>
  </si>
  <si>
    <t>УС справочник статьей ДДС ,заполнение на основании информации от гл.бух</t>
  </si>
  <si>
    <t>УС созвон с Мариной -справочник статьей ДДС , уточненние наименований статей</t>
  </si>
  <si>
    <t>УС созвон с гл. бухгалтером УФ- обсуждение справочника статей</t>
  </si>
  <si>
    <t>УС, переделала форму ПК по согласованию с собственником</t>
  </si>
  <si>
    <t>УС, сделала справочник ДДС, предварительно согласовав с собстенником, для ознакомления бухгалтерам</t>
  </si>
  <si>
    <t>УС- главный бухгалтер посмотрела справочник ДДС - "вроде ок, передам первичнику"</t>
  </si>
  <si>
    <t>УС- платежный календарь с согласованными статьями от бухгалтерии</t>
  </si>
  <si>
    <t>УС, ТД УРС -проверка чатов</t>
  </si>
  <si>
    <t>УС попытка дозвниться до клиента- битрикс (Отсутствует соединение с сервером)</t>
  </si>
  <si>
    <t>УС -перенесли встречу на понедельнк (Макс)</t>
  </si>
  <si>
    <t>УС работа с программой, как закрыли год, сколько налички в кассе</t>
  </si>
  <si>
    <t xml:space="preserve">УС -настойка на яндекс диске, платежного календаря, проверка доступа, инструкция по созданию </t>
  </si>
  <si>
    <t xml:space="preserve">УС -ПК- добавление 50 счета, суммы и таблица </t>
  </si>
  <si>
    <t>УС -ПК- факт апрель 2026 ,уточнение по контрагентам, сводная по статьям</t>
  </si>
  <si>
    <t>Написала УС про ПК- пока без вопросов, все понятно</t>
  </si>
  <si>
    <t xml:space="preserve"> УС факт апреля на 20.04 2026- в программе банковские выписки, создание списка, выгрузка в excel, создание сводной по статьям затрат, запрос по новым контрагентам, внесение факта в файл заказчика. </t>
  </si>
  <si>
    <t xml:space="preserve">Созвон с УС Марина, запланировали май, проверили факт апреля, скорректировали справочник ДДС по статье услуги печати, внести данные по УК (наличные в таблицу) , созвон в среду в 11-12 часов </t>
  </si>
  <si>
    <t xml:space="preserve">УС- в программе УК  сформировала факт за апрель 2026 г. дополнила платежный календарь- проставила формулы и значения (наличные) по факту оплат за 2025 года сделала таблицу и анализ отклонений месяца к месяцу. </t>
  </si>
  <si>
    <t xml:space="preserve">УС- факт апреля по 26.04.2026, сформировала баксковские выписки, раснесла по статьям, сформировала оплаты налиными, сделала свод по статьям, внесла в ПК </t>
  </si>
  <si>
    <t>УС- новые статьи по справочнику Согласование с собственником, доделала в ПК</t>
  </si>
  <si>
    <t xml:space="preserve">УС -созвон с бухгалтером внесение справочника в программу </t>
  </si>
  <si>
    <t>УС- обсудили факт апреля по 26.04.2026, уточнили май с учетом факта за 3 недели апреля, созвон в мае 5 числа</t>
  </si>
  <si>
    <t>УС- отправка скорректированных статей ДДС гл.бухгалтеру</t>
  </si>
  <si>
    <t>Созвон с финансистом по Р</t>
  </si>
  <si>
    <t>созвон с Ф-тэк не зантересовало наше предложение</t>
  </si>
  <si>
    <t xml:space="preserve">УС Созвон с Д Г по наличию договоров, настойка удаленной база для определения основных статей доходов и расходов. </t>
  </si>
  <si>
    <t>созвон с собствеником Фад Денисом Сергеевичем -Урс- необходима помощь в настройке программы СБИС и интересует отчет ОДДС, есть первичник и бухгалтер, есть экономист, программу поддерживает программист</t>
  </si>
  <si>
    <t>Урс -сбор данных для работы с клиентом, (пожелания и запрос) по предыдущим звонкам</t>
  </si>
  <si>
    <t>Созвон Б Игорь Степанович</t>
  </si>
  <si>
    <t>Созвон В Ирина, создание в платежном календаре листа реестр платежей</t>
  </si>
  <si>
    <t>Рем</t>
  </si>
  <si>
    <t xml:space="preserve">запрос задолженности по оплатам УФ от компаний РК, НСС, НЖС и отправка Рему </t>
  </si>
  <si>
    <t xml:space="preserve">проверка чата Рем, </t>
  </si>
  <si>
    <t>Обсуждение договоров и таблиц для Рема- с Людмилой + Ирина В.</t>
  </si>
  <si>
    <t>проверка чата и платежного календаря, составление регламента для Рема</t>
  </si>
  <si>
    <t>проверка чата, информация по разблокировки НЖС,  запрос по налогам Рема У бухгалтера</t>
  </si>
  <si>
    <t>описание проблемы по Рему - файл ехсел, краткое пояснение</t>
  </si>
  <si>
    <t>просмотр ОПН по Рему и НЖС</t>
  </si>
  <si>
    <t>С Ириной  В. обсудили реестр, налоги по 1 кварталу 2026 года Рем и НСС, нужна информация по слиянию НЖС с НСС</t>
  </si>
  <si>
    <t xml:space="preserve">Предварительное согласование с собственником налогов за 1 квартал 2026 года Рем НСС </t>
  </si>
  <si>
    <t>Созвон Юлия налоги  требование по Рему</t>
  </si>
  <si>
    <t xml:space="preserve">Рем пояснения и расчет для уменьшения налога по НЖС </t>
  </si>
  <si>
    <t>созвон с Людмилой по Рему и новому продукту</t>
  </si>
  <si>
    <t>созвон с бухгалтером УФ, задача поставленна Б Игорь Степанович</t>
  </si>
  <si>
    <t xml:space="preserve">проверка чата, созвон с бухгалтером и Бом И.С. </t>
  </si>
  <si>
    <t xml:space="preserve">Письмо для Рема с пояснениями для Ба про снижению налогооблагаемой базы НЖС </t>
  </si>
  <si>
    <t>Платежный календарь, настройка реестра платежей и данных с диодока с Рем</t>
  </si>
  <si>
    <t xml:space="preserve">чат с Рем, налоги, займы,  платежный календарь, поясненение собственнику, пояснение от бухгалтеров </t>
  </si>
  <si>
    <t>Платежный календарь, настройка реестра платежей и данных с диодока с Уф</t>
  </si>
  <si>
    <t>ИП С О.Е.</t>
  </si>
  <si>
    <t xml:space="preserve">ИП С С.П. </t>
  </si>
  <si>
    <t>ИП С С.П. (новый продукт)</t>
  </si>
  <si>
    <t>ИП С С.П.  +Св БДР+ ноябрь 2025</t>
  </si>
  <si>
    <t>ИП С С.П.  +Св БДР+ декабрь  2025</t>
  </si>
  <si>
    <t xml:space="preserve">ИП С С.П.  +Св БДР проверка баз </t>
  </si>
  <si>
    <t>Созвон с Людмилой- план по Свым+ Рем</t>
  </si>
  <si>
    <t>анализ разговора со Свым- составление план-шаблона для начала внедрения продуктов</t>
  </si>
  <si>
    <t>Атт</t>
  </si>
  <si>
    <t>Атт февраль, март 2026 сборка факта</t>
  </si>
  <si>
    <t>Атт февраль, март 2026 проставление статей ДДС, заполнение формы</t>
  </si>
  <si>
    <t xml:space="preserve">согласование  регламента для Рема Александрой и Ирина </t>
  </si>
  <si>
    <t>УРС- подготовка к встрече в Фад</t>
  </si>
  <si>
    <t>Разбор платежа от   МУП "Юскэнергогаз" выяснение платежа  Б А</t>
  </si>
  <si>
    <t>Разбор платежа от   МУП "Юкэнергогаз" выяснение платежа, кто заводил счет у Рема счета не было.   Дарья Кристопчук</t>
  </si>
  <si>
    <t xml:space="preserve">пояснения по платежному поручению № 791 от 16.04.2026 г. на сумму 1068,48 , ответ Дарьи </t>
  </si>
  <si>
    <t xml:space="preserve">проверка чата, .дарья  нашла не созданный ей и Александрой п/п </t>
  </si>
  <si>
    <t>проверка оплаты аренды администации по Юго- не те реквизиты</t>
  </si>
  <si>
    <t>Арк</t>
  </si>
  <si>
    <t>В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</si>
</sst>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h&quot;:&quot;mm"/>
    <numFmt numFmtId="166" formatCode="0.0"/>
  </numFmts>
  <fonts count="8" x14ac:knownFonts="1">
    <font>
      <sz val="10"/>
      <color rgb="FF000000"/>
      <name val="Arial"/>
      <scheme val="minor"/>
    </font>
    <font>
      <sz val="10"/>
      <color theme="1"/>
      <name val="Times New Roman"/>
      <family val="1"/>
      <charset val="204"/>
    </font>
    <font>
      <b/>
      <sz val="13"/>
      <color rgb="FF351C75"/>
      <name val="Times New Roman"/>
      <family val="1"/>
      <charset val="204"/>
    </font>
    <font>
      <b/>
      <sz val="13"/>
      <color rgb="FF9900FF"/>
      <name val="Times New Roman"/>
      <family val="1"/>
      <charset val="204"/>
    </font>
    <font>
      <sz val="5"/>
      <color theme="1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20" fontId="1" fillId="0" borderId="4" xfId="0" applyNumberFormat="1" applyFont="1" applyBorder="1" applyAlignment="1">
      <alignment horizontal="center" vertical="top" wrapText="1"/>
    </xf>
    <xf numFmtId="2" fontId="1" fillId="3" borderId="4" xfId="0" applyNumberFormat="1" applyFont="1" applyFill="1" applyBorder="1" applyAlignment="1">
      <alignment horizontal="center" vertical="top" wrapText="1"/>
    </xf>
    <xf numFmtId="3" fontId="1" fillId="3" borderId="4" xfId="0" applyNumberFormat="1" applyFont="1" applyFill="1" applyBorder="1" applyAlignment="1">
      <alignment vertical="top" wrapText="1"/>
    </xf>
    <xf numFmtId="3" fontId="1" fillId="0" borderId="0" xfId="0" applyNumberFormat="1" applyFont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165" fontId="1" fillId="0" borderId="4" xfId="0" applyNumberFormat="1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vertical="top" wrapText="1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3" fontId="7" fillId="3" borderId="4" xfId="0" applyNumberFormat="1" applyFont="1" applyFill="1" applyBorder="1" applyAlignment="1">
      <alignment horizontal="right" vertical="top" wrapText="1"/>
    </xf>
    <xf numFmtId="0" fontId="1" fillId="4" borderId="0" xfId="0" applyFont="1" applyFill="1" applyAlignment="1">
      <alignment vertical="top" wrapText="1"/>
    </xf>
    <xf numFmtId="166" fontId="1" fillId="0" borderId="0" xfId="0" applyNumberFormat="1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144"/>
  <sheetViews>
    <sheetView showGridLines="0" tabSelected="1" workbookViewId="0">
      <pane ySplit="5" topLeftCell="A144" activePane="bottomLeft" state="frozen"/>
      <selection pane="bottomLeft" activeCell="E148" sqref="E148"/>
    </sheetView>
  </sheetViews>
  <sheetFormatPr defaultColWidth="12.5703125" defaultRowHeight="15.75" customHeight="1" x14ac:dyDescent="0.2"/>
  <cols>
    <col min="1" max="1" width="2.140625" customWidth="1"/>
    <col min="2" max="2" width="4.7109375" customWidth="1"/>
    <col min="3" max="3" width="12.42578125" customWidth="1"/>
    <col min="4" max="4" width="25.5703125" customWidth="1"/>
    <col min="5" max="5" width="57.28515625" customWidth="1"/>
    <col min="6" max="7" width="10.5703125" customWidth="1"/>
    <col min="8" max="8" width="9.7109375" customWidth="1"/>
  </cols>
  <sheetData>
    <row r="1" spans="1:28" ht="7.5" customHeight="1" x14ac:dyDescent="0.2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5" x14ac:dyDescent="0.2">
      <c r="A2" s="3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6.5" x14ac:dyDescent="0.2">
      <c r="A3" s="4"/>
      <c r="B3" s="4" t="s">
        <v>187</v>
      </c>
      <c r="C3" s="2"/>
      <c r="D3" s="2"/>
      <c r="E3" s="2"/>
      <c r="F3" s="2"/>
      <c r="G3" s="2"/>
      <c r="H3" s="2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7.5" customHeight="1" x14ac:dyDescent="0.2">
      <c r="A4" s="1"/>
      <c r="B4" s="1"/>
      <c r="C4" s="2"/>
      <c r="D4" s="2"/>
      <c r="E4" s="2"/>
      <c r="F4" s="2"/>
      <c r="G4" s="2"/>
      <c r="H4" s="2"/>
      <c r="I4" s="5">
        <v>2000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5.5" x14ac:dyDescent="0.2">
      <c r="A5" s="1"/>
      <c r="B5" s="6" t="s">
        <v>1</v>
      </c>
      <c r="C5" s="7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2.75" x14ac:dyDescent="0.2">
      <c r="A6" s="1"/>
      <c r="B6" s="10">
        <v>1</v>
      </c>
      <c r="C6" s="11">
        <v>46113</v>
      </c>
      <c r="D6" s="13" t="s">
        <v>9</v>
      </c>
      <c r="E6" s="13" t="s">
        <v>64</v>
      </c>
      <c r="F6" s="14">
        <v>0.41666666666666669</v>
      </c>
      <c r="G6" s="14">
        <v>0.4375</v>
      </c>
      <c r="H6" s="15">
        <f t="shared" ref="H6:H85" si="0">(G6-F6)*1440/60</f>
        <v>0.4999999999999995</v>
      </c>
      <c r="I6" s="16">
        <f t="shared" ref="I6:I85" si="1">IF(D6="УФ",0,H6*$I$4)</f>
        <v>0</v>
      </c>
      <c r="J6" s="1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5.5" x14ac:dyDescent="0.2">
      <c r="A7" s="1"/>
      <c r="B7" s="18">
        <v>2</v>
      </c>
      <c r="C7" s="11">
        <v>46113</v>
      </c>
      <c r="D7" s="13" t="s">
        <v>9</v>
      </c>
      <c r="E7" s="12" t="s">
        <v>99</v>
      </c>
      <c r="F7" s="19">
        <v>0.4375</v>
      </c>
      <c r="G7" s="19">
        <v>0.45833333333333331</v>
      </c>
      <c r="H7" s="15">
        <f t="shared" si="0"/>
        <v>0.4999999999999995</v>
      </c>
      <c r="I7" s="16">
        <f t="shared" si="1"/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38.25" x14ac:dyDescent="0.2">
      <c r="A8" s="1"/>
      <c r="B8" s="10">
        <v>3</v>
      </c>
      <c r="C8" s="11">
        <v>46113</v>
      </c>
      <c r="D8" s="13" t="s">
        <v>9</v>
      </c>
      <c r="E8" s="13" t="s">
        <v>101</v>
      </c>
      <c r="F8" s="19">
        <v>0.45833333333333331</v>
      </c>
      <c r="G8" s="19">
        <v>0.47083333333333333</v>
      </c>
      <c r="H8" s="15">
        <f t="shared" si="0"/>
        <v>0.30000000000000021</v>
      </c>
      <c r="I8" s="16">
        <f t="shared" si="1"/>
        <v>0</v>
      </c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5.5" x14ac:dyDescent="0.2">
      <c r="A9" s="1"/>
      <c r="B9" s="10">
        <v>4</v>
      </c>
      <c r="C9" s="11">
        <v>46113</v>
      </c>
      <c r="D9" s="13" t="s">
        <v>9</v>
      </c>
      <c r="E9" s="13" t="s">
        <v>65</v>
      </c>
      <c r="F9" s="19">
        <v>0.47083333333333333</v>
      </c>
      <c r="G9" s="19">
        <v>0.5</v>
      </c>
      <c r="H9" s="15">
        <f t="shared" si="0"/>
        <v>0.70000000000000029</v>
      </c>
      <c r="I9" s="16">
        <f t="shared" si="1"/>
        <v>0</v>
      </c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63.75" x14ac:dyDescent="0.2">
      <c r="A10" s="1"/>
      <c r="B10" s="10">
        <v>5</v>
      </c>
      <c r="C10" s="11">
        <v>46113</v>
      </c>
      <c r="D10" s="13" t="s">
        <v>9</v>
      </c>
      <c r="E10" s="13" t="s">
        <v>102</v>
      </c>
      <c r="F10" s="19">
        <v>0.4861111111111111</v>
      </c>
      <c r="G10" s="19">
        <v>0.51041666666666663</v>
      </c>
      <c r="H10" s="15">
        <f t="shared" si="0"/>
        <v>0.58333333333333259</v>
      </c>
      <c r="I10" s="16">
        <f t="shared" si="1"/>
        <v>0</v>
      </c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25.5" x14ac:dyDescent="0.2">
      <c r="A11" s="1"/>
      <c r="B11" s="18">
        <v>6</v>
      </c>
      <c r="C11" s="11">
        <v>46113</v>
      </c>
      <c r="D11" s="13" t="s">
        <v>9</v>
      </c>
      <c r="E11" s="12" t="s">
        <v>104</v>
      </c>
      <c r="F11" s="19">
        <v>0.51249999999999996</v>
      </c>
      <c r="G11" s="19">
        <v>0.52430555555555558</v>
      </c>
      <c r="H11" s="15">
        <f t="shared" si="0"/>
        <v>0.28333333333333499</v>
      </c>
      <c r="I11" s="16">
        <f t="shared" si="1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2.75" x14ac:dyDescent="0.2">
      <c r="A12" s="1"/>
      <c r="B12" s="18">
        <v>7</v>
      </c>
      <c r="C12" s="11">
        <v>46113</v>
      </c>
      <c r="D12" s="13" t="s">
        <v>9</v>
      </c>
      <c r="E12" s="12" t="s">
        <v>100</v>
      </c>
      <c r="F12" s="14">
        <v>0.53125</v>
      </c>
      <c r="G12" s="14">
        <v>0.54166666666666663</v>
      </c>
      <c r="H12" s="15">
        <f t="shared" si="0"/>
        <v>0.24999999999999911</v>
      </c>
      <c r="I12" s="16">
        <f t="shared" si="1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63.75" x14ac:dyDescent="0.2">
      <c r="A13" s="1"/>
      <c r="B13" s="18">
        <v>8</v>
      </c>
      <c r="C13" s="11">
        <v>46113</v>
      </c>
      <c r="D13" s="13" t="s">
        <v>9</v>
      </c>
      <c r="E13" s="12" t="s">
        <v>103</v>
      </c>
      <c r="F13" s="14">
        <v>0.55208333333333337</v>
      </c>
      <c r="G13" s="14">
        <v>0.5625</v>
      </c>
      <c r="H13" s="15">
        <f t="shared" si="0"/>
        <v>0.24999999999999911</v>
      </c>
      <c r="I13" s="16">
        <f t="shared" si="1"/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2.75" x14ac:dyDescent="0.2">
      <c r="A14" s="1"/>
      <c r="B14" s="18">
        <v>9</v>
      </c>
      <c r="C14" s="11">
        <v>46113</v>
      </c>
      <c r="D14" s="13" t="s">
        <v>9</v>
      </c>
      <c r="E14" s="12" t="s">
        <v>66</v>
      </c>
      <c r="F14" s="14">
        <v>0.56944444444444442</v>
      </c>
      <c r="G14" s="14">
        <v>0.59027777777777779</v>
      </c>
      <c r="H14" s="15">
        <f t="shared" si="0"/>
        <v>0.50000000000000089</v>
      </c>
      <c r="I14" s="16">
        <f t="shared" si="1"/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2.75" x14ac:dyDescent="0.2">
      <c r="A15" s="1"/>
      <c r="B15" s="18">
        <v>10</v>
      </c>
      <c r="C15" s="11">
        <v>46113</v>
      </c>
      <c r="D15" s="13" t="s">
        <v>9</v>
      </c>
      <c r="E15" s="12" t="s">
        <v>105</v>
      </c>
      <c r="F15" s="14">
        <v>0.63541666666666663</v>
      </c>
      <c r="G15" s="14">
        <v>0.64583333333333337</v>
      </c>
      <c r="H15" s="15">
        <f t="shared" si="0"/>
        <v>0.25000000000000178</v>
      </c>
      <c r="I15" s="16">
        <f t="shared" si="1"/>
        <v>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x14ac:dyDescent="0.2">
      <c r="A16" s="1"/>
      <c r="B16" s="10">
        <v>11</v>
      </c>
      <c r="C16" s="11">
        <v>46113</v>
      </c>
      <c r="D16" s="13" t="s">
        <v>9</v>
      </c>
      <c r="E16" s="12" t="s">
        <v>67</v>
      </c>
      <c r="F16" s="14">
        <v>0.66666666666666663</v>
      </c>
      <c r="G16" s="14">
        <v>0.70833333333333337</v>
      </c>
      <c r="H16" s="15">
        <f t="shared" si="0"/>
        <v>1.0000000000000018</v>
      </c>
      <c r="I16" s="16">
        <f t="shared" si="1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51" x14ac:dyDescent="0.2">
      <c r="A17" s="1"/>
      <c r="B17" s="18">
        <v>12</v>
      </c>
      <c r="C17" s="11">
        <v>46114</v>
      </c>
      <c r="D17" s="13" t="s">
        <v>9</v>
      </c>
      <c r="E17" s="12" t="s">
        <v>106</v>
      </c>
      <c r="F17" s="14">
        <v>0.33333333333333331</v>
      </c>
      <c r="G17" s="14">
        <v>0.39583333333333331</v>
      </c>
      <c r="H17" s="15">
        <f t="shared" si="0"/>
        <v>1.5</v>
      </c>
      <c r="I17" s="16">
        <f t="shared" si="1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2.75" x14ac:dyDescent="0.2">
      <c r="A18" s="1"/>
      <c r="B18" s="10">
        <v>13</v>
      </c>
      <c r="C18" s="11">
        <v>46114</v>
      </c>
      <c r="D18" s="13" t="s">
        <v>9</v>
      </c>
      <c r="E18" s="12" t="s">
        <v>68</v>
      </c>
      <c r="F18" s="14">
        <v>0.36805555555555558</v>
      </c>
      <c r="G18" s="14">
        <v>0.3888888888888889</v>
      </c>
      <c r="H18" s="15">
        <f t="shared" si="0"/>
        <v>0.4999999999999995</v>
      </c>
      <c r="I18" s="16">
        <f t="shared" si="1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25.5" x14ac:dyDescent="0.2">
      <c r="A19" s="1"/>
      <c r="B19" s="10">
        <v>14</v>
      </c>
      <c r="C19" s="11">
        <v>46114</v>
      </c>
      <c r="D19" s="13" t="s">
        <v>9</v>
      </c>
      <c r="E19" s="12" t="s">
        <v>107</v>
      </c>
      <c r="F19" s="14">
        <v>0.40277777777777779</v>
      </c>
      <c r="G19" s="14">
        <v>0.43055555555555558</v>
      </c>
      <c r="H19" s="15">
        <f t="shared" si="0"/>
        <v>0.66666666666666685</v>
      </c>
      <c r="I19" s="16">
        <f t="shared" si="1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2.75" x14ac:dyDescent="0.2">
      <c r="A20" s="1"/>
      <c r="B20" s="10">
        <v>15</v>
      </c>
      <c r="C20" s="11">
        <v>46114</v>
      </c>
      <c r="D20" s="12" t="s">
        <v>9</v>
      </c>
      <c r="E20" s="12" t="s">
        <v>109</v>
      </c>
      <c r="F20" s="14">
        <v>0.4375</v>
      </c>
      <c r="G20" s="14">
        <v>0.4513888888888889</v>
      </c>
      <c r="H20" s="15">
        <f t="shared" si="0"/>
        <v>0.33333333333333343</v>
      </c>
      <c r="I20" s="16">
        <f t="shared" si="1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5.5" x14ac:dyDescent="0.2">
      <c r="A21" s="1"/>
      <c r="B21" s="18">
        <v>16</v>
      </c>
      <c r="C21" s="11">
        <v>46114</v>
      </c>
      <c r="D21" s="13" t="s">
        <v>9</v>
      </c>
      <c r="E21" s="12" t="s">
        <v>108</v>
      </c>
      <c r="F21" s="14">
        <v>0.45833333333333331</v>
      </c>
      <c r="G21" s="14">
        <v>0.47222222222222221</v>
      </c>
      <c r="H21" s="15">
        <f t="shared" si="0"/>
        <v>0.33333333333333343</v>
      </c>
      <c r="I21" s="16">
        <f t="shared" si="1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 x14ac:dyDescent="0.2">
      <c r="A22" s="1"/>
      <c r="B22" s="18">
        <v>17</v>
      </c>
      <c r="C22" s="11">
        <v>46114</v>
      </c>
      <c r="D22" s="12" t="s">
        <v>9</v>
      </c>
      <c r="E22" s="12" t="s">
        <v>110</v>
      </c>
      <c r="F22" s="19">
        <v>0.47916666666666669</v>
      </c>
      <c r="G22" s="19">
        <v>0.48055555555555557</v>
      </c>
      <c r="H22" s="15">
        <f t="shared" si="0"/>
        <v>3.3333333333333215E-2</v>
      </c>
      <c r="I22" s="16">
        <f t="shared" si="1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2.75" x14ac:dyDescent="0.2">
      <c r="A23" s="1"/>
      <c r="B23" s="18">
        <v>18</v>
      </c>
      <c r="C23" s="11">
        <v>46114</v>
      </c>
      <c r="D23" s="12" t="s">
        <v>9</v>
      </c>
      <c r="E23" s="12" t="s">
        <v>111</v>
      </c>
      <c r="F23" s="19">
        <v>0.48055555555555557</v>
      </c>
      <c r="G23" s="19">
        <v>0.4861111111111111</v>
      </c>
      <c r="H23" s="15">
        <f t="shared" si="0"/>
        <v>0.13333333333333286</v>
      </c>
      <c r="I23" s="16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2.75" x14ac:dyDescent="0.2">
      <c r="A24" s="1"/>
      <c r="B24" s="18">
        <v>19</v>
      </c>
      <c r="C24" s="11">
        <v>46114</v>
      </c>
      <c r="D24" s="12" t="s">
        <v>9</v>
      </c>
      <c r="E24" s="12" t="s">
        <v>142</v>
      </c>
      <c r="F24" s="14">
        <v>0.625</v>
      </c>
      <c r="G24" s="19">
        <v>0.70833333333333337</v>
      </c>
      <c r="H24" s="15">
        <f t="shared" si="0"/>
        <v>2.0000000000000009</v>
      </c>
      <c r="I24" s="16">
        <f t="shared" si="1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2.75" x14ac:dyDescent="0.2">
      <c r="A25" s="1"/>
      <c r="B25" s="18">
        <v>20</v>
      </c>
      <c r="C25" s="20">
        <v>46115</v>
      </c>
      <c r="D25" s="12" t="s">
        <v>9</v>
      </c>
      <c r="E25" s="12" t="s">
        <v>69</v>
      </c>
      <c r="F25" s="14">
        <v>0.29166666666666669</v>
      </c>
      <c r="G25" s="19">
        <v>0.3125</v>
      </c>
      <c r="H25" s="15">
        <f t="shared" si="0"/>
        <v>0.4999999999999995</v>
      </c>
      <c r="I25" s="16">
        <f t="shared" si="1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25.5" x14ac:dyDescent="0.2">
      <c r="A26" s="1"/>
      <c r="B26" s="10">
        <v>21</v>
      </c>
      <c r="C26" s="20">
        <v>46115</v>
      </c>
      <c r="D26" s="12" t="s">
        <v>149</v>
      </c>
      <c r="E26" s="12" t="s">
        <v>10</v>
      </c>
      <c r="F26" s="19">
        <v>0.33333333333333331</v>
      </c>
      <c r="G26" s="19">
        <v>0.375</v>
      </c>
      <c r="H26" s="15">
        <f t="shared" si="0"/>
        <v>1.0000000000000004</v>
      </c>
      <c r="I26" s="16">
        <f t="shared" si="1"/>
        <v>2000.0000000000009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38.25" x14ac:dyDescent="0.2">
      <c r="A27" s="1"/>
      <c r="B27" s="18">
        <v>22</v>
      </c>
      <c r="C27" s="20">
        <v>46115</v>
      </c>
      <c r="D27" s="12" t="s">
        <v>149</v>
      </c>
      <c r="E27" s="12" t="s">
        <v>11</v>
      </c>
      <c r="F27" s="19">
        <v>0.375</v>
      </c>
      <c r="G27" s="19">
        <v>0.4375</v>
      </c>
      <c r="H27" s="15">
        <f t="shared" si="0"/>
        <v>1.5</v>
      </c>
      <c r="I27" s="16">
        <f t="shared" si="1"/>
        <v>3000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25.5" x14ac:dyDescent="0.2">
      <c r="A28" s="1"/>
      <c r="B28" s="10">
        <v>23</v>
      </c>
      <c r="C28" s="20">
        <v>46115</v>
      </c>
      <c r="D28" s="12" t="s">
        <v>9</v>
      </c>
      <c r="E28" s="12" t="s">
        <v>112</v>
      </c>
      <c r="F28" s="19">
        <v>0.4375</v>
      </c>
      <c r="G28" s="14">
        <v>0.44444444444444442</v>
      </c>
      <c r="H28" s="15">
        <f t="shared" si="0"/>
        <v>0.16666666666666607</v>
      </c>
      <c r="I28" s="16">
        <f t="shared" si="1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2.75" x14ac:dyDescent="0.2">
      <c r="A29" s="1"/>
      <c r="B29" s="10">
        <v>24</v>
      </c>
      <c r="C29" s="20">
        <v>46115</v>
      </c>
      <c r="D29" s="12" t="s">
        <v>9</v>
      </c>
      <c r="E29" s="12" t="s">
        <v>143</v>
      </c>
      <c r="F29" s="19">
        <v>0.44444444444444442</v>
      </c>
      <c r="G29" s="19">
        <v>0.44583333333333336</v>
      </c>
      <c r="H29" s="15">
        <f t="shared" si="0"/>
        <v>3.3333333333334547E-2</v>
      </c>
      <c r="I29" s="16">
        <f t="shared" si="1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2.75" x14ac:dyDescent="0.2">
      <c r="A30" s="1"/>
      <c r="B30" s="10">
        <v>25</v>
      </c>
      <c r="C30" s="20">
        <v>46115</v>
      </c>
      <c r="D30" s="12" t="s">
        <v>149</v>
      </c>
      <c r="E30" s="12" t="s">
        <v>12</v>
      </c>
      <c r="F30" s="19">
        <v>0.5</v>
      </c>
      <c r="G30" s="19">
        <v>0.52083333333333337</v>
      </c>
      <c r="H30" s="15">
        <f t="shared" si="0"/>
        <v>0.50000000000000089</v>
      </c>
      <c r="I30" s="16">
        <f t="shared" si="1"/>
        <v>1000.0000000000018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2.75" x14ac:dyDescent="0.2">
      <c r="A31" s="1"/>
      <c r="B31" s="18">
        <v>26</v>
      </c>
      <c r="C31" s="20">
        <v>46115</v>
      </c>
      <c r="D31" s="12" t="s">
        <v>9</v>
      </c>
      <c r="E31" s="12" t="s">
        <v>70</v>
      </c>
      <c r="F31" s="19">
        <v>0.54166666666666663</v>
      </c>
      <c r="G31" s="19">
        <v>0.5625</v>
      </c>
      <c r="H31" s="15">
        <f t="shared" si="0"/>
        <v>0.50000000000000089</v>
      </c>
      <c r="I31" s="16">
        <f t="shared" si="1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5.5" x14ac:dyDescent="0.2">
      <c r="A32" s="1"/>
      <c r="B32" s="18">
        <v>27</v>
      </c>
      <c r="C32" s="20">
        <v>46115</v>
      </c>
      <c r="D32" s="12" t="s">
        <v>9</v>
      </c>
      <c r="E32" s="12" t="s">
        <v>144</v>
      </c>
      <c r="F32" s="19">
        <v>0.5625</v>
      </c>
      <c r="G32" s="14">
        <v>0.60416666666666663</v>
      </c>
      <c r="H32" s="15">
        <f t="shared" si="0"/>
        <v>0.999999999999999</v>
      </c>
      <c r="I32" s="16">
        <f t="shared" si="1"/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2.75" x14ac:dyDescent="0.2">
      <c r="A33" s="1"/>
      <c r="B33" s="18">
        <v>28</v>
      </c>
      <c r="C33" s="20">
        <v>46118</v>
      </c>
      <c r="D33" s="12" t="s">
        <v>9</v>
      </c>
      <c r="E33" s="12" t="s">
        <v>71</v>
      </c>
      <c r="F33" s="19">
        <v>0.33333333333333331</v>
      </c>
      <c r="G33" s="19">
        <v>0.34722222222222221</v>
      </c>
      <c r="H33" s="15">
        <f t="shared" si="0"/>
        <v>0.33333333333333343</v>
      </c>
      <c r="I33" s="16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51" x14ac:dyDescent="0.2">
      <c r="A34" s="1"/>
      <c r="B34" s="18">
        <v>29</v>
      </c>
      <c r="C34" s="20">
        <v>46118</v>
      </c>
      <c r="D34" s="12" t="s">
        <v>9</v>
      </c>
      <c r="E34" s="12" t="s">
        <v>145</v>
      </c>
      <c r="F34" s="19">
        <v>0.35416666666666669</v>
      </c>
      <c r="G34" s="19">
        <v>0.39583333333333331</v>
      </c>
      <c r="H34" s="15">
        <f t="shared" si="0"/>
        <v>0.999999999999999</v>
      </c>
      <c r="I34" s="16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2.75" x14ac:dyDescent="0.2">
      <c r="A35" s="1"/>
      <c r="B35" s="18">
        <v>30</v>
      </c>
      <c r="C35" s="20">
        <v>46118</v>
      </c>
      <c r="D35" s="12" t="s">
        <v>9</v>
      </c>
      <c r="E35" s="12" t="s">
        <v>113</v>
      </c>
      <c r="F35" s="19">
        <v>0.40277777777777779</v>
      </c>
      <c r="G35" s="19">
        <v>0.40972222222222221</v>
      </c>
      <c r="H35" s="15">
        <f t="shared" si="0"/>
        <v>0.16666666666666607</v>
      </c>
      <c r="I35" s="16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2.75" x14ac:dyDescent="0.2">
      <c r="A36" s="1"/>
      <c r="B36" s="10">
        <v>31</v>
      </c>
      <c r="C36" s="20">
        <v>46118</v>
      </c>
      <c r="D36" s="12" t="s">
        <v>9</v>
      </c>
      <c r="E36" s="12" t="s">
        <v>114</v>
      </c>
      <c r="F36" s="19">
        <v>0.40972222222222221</v>
      </c>
      <c r="G36" s="19">
        <v>0.4513888888888889</v>
      </c>
      <c r="H36" s="15">
        <f t="shared" si="0"/>
        <v>1.0000000000000004</v>
      </c>
      <c r="I36" s="1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25.5" x14ac:dyDescent="0.2">
      <c r="A37" s="1"/>
      <c r="B37" s="18">
        <v>32</v>
      </c>
      <c r="C37" s="20">
        <v>46118</v>
      </c>
      <c r="D37" s="12" t="s">
        <v>9</v>
      </c>
      <c r="E37" s="12" t="s">
        <v>115</v>
      </c>
      <c r="F37" s="19">
        <v>0.4513888888888889</v>
      </c>
      <c r="G37" s="19">
        <v>0.50694444444444442</v>
      </c>
      <c r="H37" s="15">
        <f t="shared" si="0"/>
        <v>1.3333333333333326</v>
      </c>
      <c r="I37" s="16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2.75" x14ac:dyDescent="0.2">
      <c r="A38" s="1"/>
      <c r="B38" s="10">
        <v>33</v>
      </c>
      <c r="C38" s="20">
        <v>46118</v>
      </c>
      <c r="D38" s="12" t="s">
        <v>9</v>
      </c>
      <c r="E38" s="12" t="s">
        <v>116</v>
      </c>
      <c r="F38" s="14">
        <v>0.51388888888888884</v>
      </c>
      <c r="G38" s="19">
        <v>0.55208333333333337</v>
      </c>
      <c r="H38" s="15">
        <f t="shared" si="0"/>
        <v>0.91666666666666885</v>
      </c>
      <c r="I38" s="1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2.75" x14ac:dyDescent="0.2">
      <c r="A39" s="1"/>
      <c r="B39" s="10">
        <v>34</v>
      </c>
      <c r="C39" s="20">
        <v>46118</v>
      </c>
      <c r="D39" s="12" t="s">
        <v>9</v>
      </c>
      <c r="E39" s="12" t="s">
        <v>117</v>
      </c>
      <c r="F39" s="14">
        <v>0.58333333333333337</v>
      </c>
      <c r="G39" s="19">
        <v>0.61111111111111116</v>
      </c>
      <c r="H39" s="15">
        <f t="shared" si="0"/>
        <v>0.66666666666666685</v>
      </c>
      <c r="I39" s="16">
        <f t="shared" si="1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2.75" x14ac:dyDescent="0.2">
      <c r="A40" s="1"/>
      <c r="B40" s="10">
        <v>35</v>
      </c>
      <c r="C40" s="20">
        <v>46118</v>
      </c>
      <c r="D40" s="12" t="s">
        <v>9</v>
      </c>
      <c r="E40" s="12" t="s">
        <v>118</v>
      </c>
      <c r="F40" s="14">
        <v>0.61111111111111116</v>
      </c>
      <c r="G40" s="14">
        <v>0.61250000000000004</v>
      </c>
      <c r="H40" s="15">
        <f t="shared" si="0"/>
        <v>3.3333333333333215E-2</v>
      </c>
      <c r="I40" s="16">
        <f t="shared" si="1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25.5" x14ac:dyDescent="0.2">
      <c r="A41" s="1"/>
      <c r="B41" s="18">
        <v>36</v>
      </c>
      <c r="C41" s="20">
        <v>46118</v>
      </c>
      <c r="D41" s="12" t="s">
        <v>149</v>
      </c>
      <c r="E41" s="12" t="s">
        <v>13</v>
      </c>
      <c r="F41" s="14">
        <v>0.625</v>
      </c>
      <c r="G41" s="14">
        <v>0.66666666666666663</v>
      </c>
      <c r="H41" s="15">
        <f t="shared" si="0"/>
        <v>0.999999999999999</v>
      </c>
      <c r="I41" s="16">
        <f t="shared" si="1"/>
        <v>1999.999999999998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2.75" x14ac:dyDescent="0.2">
      <c r="A42" s="1"/>
      <c r="B42" s="18">
        <v>37</v>
      </c>
      <c r="C42" s="20">
        <v>46119</v>
      </c>
      <c r="D42" s="12" t="s">
        <v>149</v>
      </c>
      <c r="E42" s="12" t="s">
        <v>14</v>
      </c>
      <c r="F42" s="14">
        <v>0.33333333333333331</v>
      </c>
      <c r="G42" s="14">
        <v>0.34375</v>
      </c>
      <c r="H42" s="15">
        <f t="shared" si="0"/>
        <v>0.25000000000000044</v>
      </c>
      <c r="I42" s="16">
        <f t="shared" si="1"/>
        <v>500.00000000000091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25.5" x14ac:dyDescent="0.2">
      <c r="A43" s="1"/>
      <c r="B43" s="18">
        <v>38</v>
      </c>
      <c r="C43" s="20">
        <v>46119</v>
      </c>
      <c r="D43" s="12" t="s">
        <v>9</v>
      </c>
      <c r="E43" s="12" t="s">
        <v>119</v>
      </c>
      <c r="F43" s="14">
        <v>0.34375</v>
      </c>
      <c r="G43" s="14">
        <v>0.38541666666666669</v>
      </c>
      <c r="H43" s="15">
        <f t="shared" si="0"/>
        <v>1.0000000000000004</v>
      </c>
      <c r="I43" s="16">
        <f t="shared" si="1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2.75" x14ac:dyDescent="0.2">
      <c r="A44" s="1"/>
      <c r="B44" s="18">
        <v>39</v>
      </c>
      <c r="C44" s="20">
        <v>46119</v>
      </c>
      <c r="D44" s="12" t="s">
        <v>149</v>
      </c>
      <c r="E44" s="12" t="s">
        <v>147</v>
      </c>
      <c r="F44" s="14">
        <v>0.39583333333333331</v>
      </c>
      <c r="G44" s="14">
        <v>0.40972222222222221</v>
      </c>
      <c r="H44" s="15">
        <f t="shared" si="0"/>
        <v>0.33333333333333343</v>
      </c>
      <c r="I44" s="16">
        <f t="shared" si="1"/>
        <v>666.66666666666686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25.5" x14ac:dyDescent="0.2">
      <c r="A45" s="1"/>
      <c r="B45" s="18">
        <v>40</v>
      </c>
      <c r="C45" s="20">
        <v>46119</v>
      </c>
      <c r="D45" s="12" t="s">
        <v>9</v>
      </c>
      <c r="E45" s="12" t="s">
        <v>120</v>
      </c>
      <c r="F45" s="14">
        <v>0.40972222222222221</v>
      </c>
      <c r="G45" s="14">
        <v>0.45416666666666666</v>
      </c>
      <c r="H45" s="15">
        <f t="shared" si="0"/>
        <v>1.0666666666666669</v>
      </c>
      <c r="I45" s="16">
        <f t="shared" si="1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25.5" x14ac:dyDescent="0.2">
      <c r="A46" s="1"/>
      <c r="B46" s="10">
        <v>41</v>
      </c>
      <c r="C46" s="20">
        <v>46119</v>
      </c>
      <c r="D46" s="12" t="s">
        <v>149</v>
      </c>
      <c r="E46" s="12" t="s">
        <v>148</v>
      </c>
      <c r="F46" s="14">
        <v>0.45833333333333331</v>
      </c>
      <c r="G46" s="14">
        <v>0.51041666666666663</v>
      </c>
      <c r="H46" s="15">
        <f t="shared" si="0"/>
        <v>1.2499999999999996</v>
      </c>
      <c r="I46" s="16">
        <f t="shared" si="1"/>
        <v>2499.9999999999991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2.75" x14ac:dyDescent="0.2">
      <c r="A47" s="1"/>
      <c r="B47" s="18">
        <v>42</v>
      </c>
      <c r="C47" s="20">
        <v>46119</v>
      </c>
      <c r="D47" s="12" t="s">
        <v>149</v>
      </c>
      <c r="E47" s="12" t="s">
        <v>14</v>
      </c>
      <c r="F47" s="14">
        <v>0.51041666666666663</v>
      </c>
      <c r="G47" s="14">
        <v>0.52083333333333337</v>
      </c>
      <c r="H47" s="15">
        <f t="shared" si="0"/>
        <v>0.25000000000000178</v>
      </c>
      <c r="I47" s="16">
        <f t="shared" si="1"/>
        <v>500.00000000000352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2.75" x14ac:dyDescent="0.2">
      <c r="A48" s="1"/>
      <c r="B48" s="10">
        <v>43</v>
      </c>
      <c r="C48" s="20">
        <v>46119</v>
      </c>
      <c r="D48" s="12" t="s">
        <v>9</v>
      </c>
      <c r="E48" s="12" t="s">
        <v>121</v>
      </c>
      <c r="F48" s="14">
        <v>0.52083333333333337</v>
      </c>
      <c r="G48" s="14">
        <v>0.53819444444444442</v>
      </c>
      <c r="H48" s="15">
        <f t="shared" si="0"/>
        <v>0.41666666666666519</v>
      </c>
      <c r="I48" s="16">
        <f t="shared" si="1"/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x14ac:dyDescent="0.2">
      <c r="A49" s="1"/>
      <c r="B49" s="10">
        <v>44</v>
      </c>
      <c r="C49" s="20">
        <v>46119</v>
      </c>
      <c r="D49" s="12" t="s">
        <v>149</v>
      </c>
      <c r="E49" s="12" t="s">
        <v>162</v>
      </c>
      <c r="F49" s="14">
        <v>0.54166666666666663</v>
      </c>
      <c r="G49" s="14">
        <v>0.55208333333333337</v>
      </c>
      <c r="H49" s="15">
        <f t="shared" si="0"/>
        <v>0.25000000000000178</v>
      </c>
      <c r="I49" s="16">
        <f t="shared" si="1"/>
        <v>500.00000000000352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x14ac:dyDescent="0.2">
      <c r="A50" s="1"/>
      <c r="B50" s="10">
        <v>45</v>
      </c>
      <c r="C50" s="20">
        <v>46119</v>
      </c>
      <c r="D50" s="12" t="s">
        <v>149</v>
      </c>
      <c r="E50" s="12" t="s">
        <v>15</v>
      </c>
      <c r="F50" s="14">
        <v>0.55208333333333337</v>
      </c>
      <c r="G50" s="14">
        <v>0.5625</v>
      </c>
      <c r="H50" s="15">
        <f t="shared" si="0"/>
        <v>0.24999999999999911</v>
      </c>
      <c r="I50" s="16">
        <f t="shared" si="1"/>
        <v>499.99999999999824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25.5" x14ac:dyDescent="0.2">
      <c r="A51" s="1"/>
      <c r="B51" s="18">
        <v>46</v>
      </c>
      <c r="C51" s="20">
        <v>46119</v>
      </c>
      <c r="D51" s="12" t="s">
        <v>9</v>
      </c>
      <c r="E51" s="12" t="s">
        <v>150</v>
      </c>
      <c r="F51" s="14">
        <v>0.5625</v>
      </c>
      <c r="G51" s="14">
        <v>0.58333333333333337</v>
      </c>
      <c r="H51" s="15">
        <f t="shared" si="0"/>
        <v>0.50000000000000089</v>
      </c>
      <c r="I51" s="16">
        <f t="shared" si="1"/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x14ac:dyDescent="0.2">
      <c r="A52" s="1"/>
      <c r="B52" s="18">
        <v>47</v>
      </c>
      <c r="C52" s="20">
        <v>46119</v>
      </c>
      <c r="D52" s="12" t="s">
        <v>9</v>
      </c>
      <c r="E52" s="12" t="s">
        <v>122</v>
      </c>
      <c r="F52" s="14">
        <v>0.58333333333333337</v>
      </c>
      <c r="G52" s="14">
        <v>0.60416666666666663</v>
      </c>
      <c r="H52" s="15">
        <f t="shared" si="0"/>
        <v>0.49999999999999822</v>
      </c>
      <c r="I52" s="16">
        <f t="shared" si="1"/>
        <v>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25.5" x14ac:dyDescent="0.2">
      <c r="A53" s="1"/>
      <c r="B53" s="18">
        <v>48</v>
      </c>
      <c r="C53" s="20">
        <v>46119</v>
      </c>
      <c r="D53" s="12" t="s">
        <v>9</v>
      </c>
      <c r="E53" s="12" t="s">
        <v>123</v>
      </c>
      <c r="F53" s="14">
        <v>0.60416666666666663</v>
      </c>
      <c r="G53" s="14">
        <v>0.64583333333333337</v>
      </c>
      <c r="H53" s="15">
        <f t="shared" si="0"/>
        <v>1.0000000000000018</v>
      </c>
      <c r="I53" s="16">
        <f t="shared" si="1"/>
        <v>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x14ac:dyDescent="0.2">
      <c r="A54" s="1"/>
      <c r="B54" s="18">
        <v>49</v>
      </c>
      <c r="C54" s="20">
        <v>46120</v>
      </c>
      <c r="D54" s="12" t="s">
        <v>149</v>
      </c>
      <c r="E54" s="12" t="s">
        <v>151</v>
      </c>
      <c r="F54" s="14">
        <v>0.33333333333333331</v>
      </c>
      <c r="G54" s="14">
        <v>0.375</v>
      </c>
      <c r="H54" s="15">
        <f t="shared" si="0"/>
        <v>1.0000000000000004</v>
      </c>
      <c r="I54" s="16">
        <f t="shared" si="1"/>
        <v>2000.0000000000009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25.5" x14ac:dyDescent="0.2">
      <c r="A55" s="1"/>
      <c r="B55" s="18">
        <v>50</v>
      </c>
      <c r="C55" s="20">
        <v>46120</v>
      </c>
      <c r="D55" s="12" t="s">
        <v>149</v>
      </c>
      <c r="E55" s="12" t="s">
        <v>165</v>
      </c>
      <c r="F55" s="14">
        <v>0.375</v>
      </c>
      <c r="G55" s="14">
        <v>0.4375</v>
      </c>
      <c r="H55" s="15">
        <f t="shared" si="0"/>
        <v>1.5</v>
      </c>
      <c r="I55" s="16">
        <f t="shared" si="1"/>
        <v>3000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25.5" x14ac:dyDescent="0.2">
      <c r="A56" s="1"/>
      <c r="B56" s="10">
        <v>51</v>
      </c>
      <c r="C56" s="20">
        <v>46119</v>
      </c>
      <c r="D56" s="12" t="s">
        <v>9</v>
      </c>
      <c r="E56" s="12" t="s">
        <v>124</v>
      </c>
      <c r="F56" s="14">
        <v>0.44444444444444442</v>
      </c>
      <c r="G56" s="14">
        <v>0.45833333333333331</v>
      </c>
      <c r="H56" s="15">
        <f t="shared" si="0"/>
        <v>0.33333333333333343</v>
      </c>
      <c r="I56" s="16">
        <f t="shared" si="1"/>
        <v>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25.5" x14ac:dyDescent="0.2">
      <c r="A57" s="1"/>
      <c r="B57" s="18">
        <v>52</v>
      </c>
      <c r="C57" s="20">
        <v>46120</v>
      </c>
      <c r="D57" s="12" t="s">
        <v>149</v>
      </c>
      <c r="E57" s="12" t="s">
        <v>165</v>
      </c>
      <c r="F57" s="14">
        <v>0.45833333333333331</v>
      </c>
      <c r="G57" s="14">
        <v>0.52083333333333337</v>
      </c>
      <c r="H57" s="15">
        <f t="shared" si="0"/>
        <v>1.5000000000000013</v>
      </c>
      <c r="I57" s="16">
        <f t="shared" si="1"/>
        <v>3000.0000000000027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25.5" x14ac:dyDescent="0.2">
      <c r="A58" s="1"/>
      <c r="B58" s="10">
        <v>53</v>
      </c>
      <c r="C58" s="20">
        <v>46120</v>
      </c>
      <c r="D58" s="12" t="s">
        <v>149</v>
      </c>
      <c r="E58" s="12" t="s">
        <v>16</v>
      </c>
      <c r="F58" s="14">
        <v>0.52083333333333337</v>
      </c>
      <c r="G58" s="14">
        <v>0.52777777777777779</v>
      </c>
      <c r="H58" s="15">
        <f t="shared" si="0"/>
        <v>0.16666666666666607</v>
      </c>
      <c r="I58" s="16">
        <f t="shared" si="1"/>
        <v>333.33333333333212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25.5" x14ac:dyDescent="0.2">
      <c r="A59" s="1"/>
      <c r="B59" s="10">
        <v>54</v>
      </c>
      <c r="C59" s="20">
        <v>46120</v>
      </c>
      <c r="D59" s="12" t="s">
        <v>149</v>
      </c>
      <c r="E59" s="12" t="s">
        <v>167</v>
      </c>
      <c r="F59" s="14">
        <v>0.58333333333333337</v>
      </c>
      <c r="G59" s="14">
        <v>0.60416666666666663</v>
      </c>
      <c r="H59" s="15">
        <f t="shared" si="0"/>
        <v>0.49999999999999822</v>
      </c>
      <c r="I59" s="16">
        <f t="shared" si="1"/>
        <v>999.99999999999648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x14ac:dyDescent="0.2">
      <c r="A60" s="1"/>
      <c r="B60" s="10">
        <v>55</v>
      </c>
      <c r="C60" s="20">
        <v>46120</v>
      </c>
      <c r="D60" s="12" t="s">
        <v>149</v>
      </c>
      <c r="E60" s="12" t="s">
        <v>17</v>
      </c>
      <c r="F60" s="14">
        <v>0.60416666666666663</v>
      </c>
      <c r="G60" s="14">
        <v>0.625</v>
      </c>
      <c r="H60" s="15">
        <f t="shared" si="0"/>
        <v>0.50000000000000089</v>
      </c>
      <c r="I60" s="16">
        <f t="shared" si="1"/>
        <v>1000.0000000000018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25.5" x14ac:dyDescent="0.2">
      <c r="B61" s="18">
        <v>56</v>
      </c>
      <c r="C61" s="20">
        <v>46121</v>
      </c>
      <c r="D61" s="12" t="s">
        <v>149</v>
      </c>
      <c r="E61" s="12" t="s">
        <v>18</v>
      </c>
      <c r="F61" s="14">
        <v>0.33333333333333331</v>
      </c>
      <c r="G61" s="14">
        <v>0.34722222222222221</v>
      </c>
      <c r="H61" s="15">
        <f t="shared" si="0"/>
        <v>0.33333333333333343</v>
      </c>
      <c r="I61" s="16">
        <f t="shared" si="1"/>
        <v>666.66666666666686</v>
      </c>
      <c r="J61" s="2"/>
      <c r="K61" s="2"/>
    </row>
    <row r="62" spans="1:28" ht="25.5" x14ac:dyDescent="0.2">
      <c r="B62" s="18">
        <v>57</v>
      </c>
      <c r="C62" s="20">
        <v>46121</v>
      </c>
      <c r="D62" s="12" t="s">
        <v>9</v>
      </c>
      <c r="E62" s="12" t="s">
        <v>146</v>
      </c>
      <c r="F62" s="14">
        <v>0.35416666666666669</v>
      </c>
      <c r="G62" s="14">
        <v>0.3888888888888889</v>
      </c>
      <c r="H62" s="15">
        <f t="shared" si="0"/>
        <v>0.83333333333333315</v>
      </c>
      <c r="I62" s="16">
        <f t="shared" si="1"/>
        <v>0</v>
      </c>
      <c r="J62" s="2"/>
      <c r="K62" s="2"/>
    </row>
    <row r="63" spans="1:28" ht="12.75" x14ac:dyDescent="0.2">
      <c r="B63" s="18">
        <v>58</v>
      </c>
      <c r="C63" s="20">
        <v>46121</v>
      </c>
      <c r="D63" s="12" t="s">
        <v>9</v>
      </c>
      <c r="E63" s="12" t="s">
        <v>72</v>
      </c>
      <c r="F63" s="14">
        <v>0.3888888888888889</v>
      </c>
      <c r="G63" s="14">
        <v>0.40972222222222221</v>
      </c>
      <c r="H63" s="15">
        <f t="shared" si="0"/>
        <v>0.4999999999999995</v>
      </c>
      <c r="I63" s="16">
        <f t="shared" si="1"/>
        <v>0</v>
      </c>
      <c r="J63" s="2"/>
      <c r="K63" s="2"/>
    </row>
    <row r="64" spans="1:28" ht="25.5" x14ac:dyDescent="0.2">
      <c r="B64" s="18">
        <v>59</v>
      </c>
      <c r="C64" s="20">
        <v>46121</v>
      </c>
      <c r="D64" s="12" t="s">
        <v>9</v>
      </c>
      <c r="E64" s="12" t="s">
        <v>125</v>
      </c>
      <c r="F64" s="14">
        <v>0.40972222222222221</v>
      </c>
      <c r="G64" s="14">
        <v>0.4375</v>
      </c>
      <c r="H64" s="15">
        <f t="shared" si="0"/>
        <v>0.66666666666666685</v>
      </c>
      <c r="I64" s="16">
        <f t="shared" si="1"/>
        <v>0</v>
      </c>
      <c r="J64" s="2"/>
      <c r="K64" s="2"/>
    </row>
    <row r="65" spans="2:11" ht="12.75" x14ac:dyDescent="0.2">
      <c r="B65" s="18">
        <v>60</v>
      </c>
      <c r="C65" s="20">
        <v>46121</v>
      </c>
      <c r="D65" s="12" t="s">
        <v>149</v>
      </c>
      <c r="E65" s="12" t="s">
        <v>19</v>
      </c>
      <c r="F65" s="14">
        <v>0.45833333333333331</v>
      </c>
      <c r="G65" s="14">
        <v>0.5</v>
      </c>
      <c r="H65" s="15">
        <f t="shared" si="0"/>
        <v>1.0000000000000004</v>
      </c>
      <c r="I65" s="16">
        <f t="shared" si="1"/>
        <v>2000.0000000000009</v>
      </c>
      <c r="J65" s="2"/>
      <c r="K65" s="2"/>
    </row>
    <row r="66" spans="2:11" ht="12.75" x14ac:dyDescent="0.2">
      <c r="B66" s="10">
        <v>61</v>
      </c>
      <c r="C66" s="20">
        <v>46121</v>
      </c>
      <c r="D66" s="12" t="s">
        <v>149</v>
      </c>
      <c r="E66" s="12" t="s">
        <v>20</v>
      </c>
      <c r="F66" s="14">
        <v>0.5</v>
      </c>
      <c r="G66" s="14">
        <v>0.52777777777777779</v>
      </c>
      <c r="H66" s="15">
        <f t="shared" si="0"/>
        <v>0.66666666666666685</v>
      </c>
      <c r="I66" s="16">
        <f t="shared" si="1"/>
        <v>1333.3333333333337</v>
      </c>
      <c r="J66" s="2"/>
      <c r="K66" s="2"/>
    </row>
    <row r="67" spans="2:11" ht="12.75" x14ac:dyDescent="0.2">
      <c r="B67" s="18">
        <v>62</v>
      </c>
      <c r="C67" s="20">
        <v>46121</v>
      </c>
      <c r="D67" s="12" t="s">
        <v>149</v>
      </c>
      <c r="E67" s="12" t="s">
        <v>21</v>
      </c>
      <c r="F67" s="14">
        <v>0.55555555555555558</v>
      </c>
      <c r="G67" s="14">
        <v>0.57638888888888884</v>
      </c>
      <c r="H67" s="15">
        <f t="shared" si="0"/>
        <v>0.49999999999999822</v>
      </c>
      <c r="I67" s="16">
        <f t="shared" si="1"/>
        <v>999.99999999999648</v>
      </c>
      <c r="J67" s="2"/>
      <c r="K67" s="2"/>
    </row>
    <row r="68" spans="2:11" ht="12.75" x14ac:dyDescent="0.2">
      <c r="B68" s="10">
        <v>63</v>
      </c>
      <c r="C68" s="20">
        <v>46121</v>
      </c>
      <c r="D68" s="12" t="s">
        <v>149</v>
      </c>
      <c r="E68" s="12" t="s">
        <v>22</v>
      </c>
      <c r="F68" s="14">
        <v>0.58333333333333337</v>
      </c>
      <c r="G68" s="14">
        <v>0.60416666666666663</v>
      </c>
      <c r="H68" s="15">
        <f t="shared" si="0"/>
        <v>0.49999999999999822</v>
      </c>
      <c r="I68" s="16">
        <f t="shared" si="1"/>
        <v>999.99999999999648</v>
      </c>
      <c r="J68" s="2"/>
      <c r="K68" s="2"/>
    </row>
    <row r="69" spans="2:11" ht="12.75" x14ac:dyDescent="0.2">
      <c r="B69" s="10">
        <v>64</v>
      </c>
      <c r="C69" s="20">
        <v>46121</v>
      </c>
      <c r="D69" s="12" t="s">
        <v>149</v>
      </c>
      <c r="E69" s="12" t="s">
        <v>23</v>
      </c>
      <c r="F69" s="14">
        <v>0.61805555555555558</v>
      </c>
      <c r="G69" s="14">
        <v>0.63888888888888884</v>
      </c>
      <c r="H69" s="15">
        <f t="shared" si="0"/>
        <v>0.49999999999999822</v>
      </c>
      <c r="I69" s="16">
        <f t="shared" si="1"/>
        <v>999.99999999999648</v>
      </c>
      <c r="J69" s="2"/>
      <c r="K69" s="2"/>
    </row>
    <row r="70" spans="2:11" ht="12.75" x14ac:dyDescent="0.2">
      <c r="B70" s="10">
        <v>65</v>
      </c>
      <c r="C70" s="20">
        <v>46125</v>
      </c>
      <c r="D70" s="12" t="s">
        <v>149</v>
      </c>
      <c r="E70" s="12" t="s">
        <v>24</v>
      </c>
      <c r="F70" s="14">
        <v>0.31944444444444442</v>
      </c>
      <c r="G70" s="14">
        <v>0.33333333333333331</v>
      </c>
      <c r="H70" s="15">
        <f t="shared" si="0"/>
        <v>0.33333333333333343</v>
      </c>
      <c r="I70" s="16">
        <f t="shared" si="1"/>
        <v>666.66666666666686</v>
      </c>
      <c r="J70" s="2"/>
      <c r="K70" s="2"/>
    </row>
    <row r="71" spans="2:11" ht="12.75" x14ac:dyDescent="0.2">
      <c r="B71" s="18">
        <v>66</v>
      </c>
      <c r="C71" s="20">
        <v>46125</v>
      </c>
      <c r="D71" s="12" t="s">
        <v>9</v>
      </c>
      <c r="E71" s="12" t="s">
        <v>126</v>
      </c>
      <c r="F71" s="14">
        <v>0.34375</v>
      </c>
      <c r="G71" s="14">
        <v>0.3611111111111111</v>
      </c>
      <c r="H71" s="15">
        <f t="shared" si="0"/>
        <v>0.41666666666666657</v>
      </c>
      <c r="I71" s="16">
        <f t="shared" si="1"/>
        <v>0</v>
      </c>
      <c r="J71" s="2"/>
      <c r="K71" s="2"/>
    </row>
    <row r="72" spans="2:11" ht="25.5" x14ac:dyDescent="0.2">
      <c r="B72" s="18">
        <v>67</v>
      </c>
      <c r="C72" s="20">
        <v>46125</v>
      </c>
      <c r="D72" s="12" t="s">
        <v>9</v>
      </c>
      <c r="E72" s="12" t="s">
        <v>127</v>
      </c>
      <c r="F72" s="14">
        <v>0.375</v>
      </c>
      <c r="G72" s="14">
        <v>0.3923611111111111</v>
      </c>
      <c r="H72" s="15">
        <f t="shared" si="0"/>
        <v>0.41666666666666657</v>
      </c>
      <c r="I72" s="16">
        <f t="shared" si="1"/>
        <v>0</v>
      </c>
      <c r="J72" s="2"/>
      <c r="K72" s="2"/>
    </row>
    <row r="73" spans="2:11" ht="12.75" x14ac:dyDescent="0.2">
      <c r="B73" s="18">
        <v>68</v>
      </c>
      <c r="C73" s="20">
        <v>46125</v>
      </c>
      <c r="D73" s="12" t="s">
        <v>9</v>
      </c>
      <c r="E73" s="12" t="s">
        <v>128</v>
      </c>
      <c r="F73" s="14">
        <v>0.39583333333333331</v>
      </c>
      <c r="G73" s="14">
        <v>0.40277777777777779</v>
      </c>
      <c r="H73" s="15">
        <f t="shared" si="0"/>
        <v>0.16666666666666741</v>
      </c>
      <c r="I73" s="16">
        <f t="shared" si="1"/>
        <v>0</v>
      </c>
      <c r="J73" s="2"/>
      <c r="K73" s="2"/>
    </row>
    <row r="74" spans="2:11" ht="12.75" x14ac:dyDescent="0.2">
      <c r="B74" s="18">
        <v>69</v>
      </c>
      <c r="C74" s="20">
        <v>46125</v>
      </c>
      <c r="D74" s="12" t="s">
        <v>149</v>
      </c>
      <c r="E74" s="12" t="s">
        <v>25</v>
      </c>
      <c r="F74" s="14">
        <v>0.45833333333333331</v>
      </c>
      <c r="G74" s="14">
        <v>0.47916666666666669</v>
      </c>
      <c r="H74" s="15">
        <f t="shared" si="0"/>
        <v>0.50000000000000089</v>
      </c>
      <c r="I74" s="16">
        <f t="shared" si="1"/>
        <v>1000.0000000000018</v>
      </c>
      <c r="J74" s="2"/>
      <c r="K74" s="2"/>
    </row>
    <row r="75" spans="2:11" ht="25.5" x14ac:dyDescent="0.2">
      <c r="B75" s="18">
        <v>70</v>
      </c>
      <c r="C75" s="20">
        <v>46125</v>
      </c>
      <c r="D75" s="12" t="s">
        <v>149</v>
      </c>
      <c r="E75" s="12" t="s">
        <v>26</v>
      </c>
      <c r="F75" s="14">
        <v>0.47916666666666669</v>
      </c>
      <c r="G75" s="14">
        <v>0.5</v>
      </c>
      <c r="H75" s="15">
        <f t="shared" si="0"/>
        <v>0.4999999999999995</v>
      </c>
      <c r="I75" s="16">
        <f t="shared" si="1"/>
        <v>999.99999999999898</v>
      </c>
      <c r="J75" s="2"/>
      <c r="K75" s="2"/>
    </row>
    <row r="76" spans="2:11" ht="12.75" x14ac:dyDescent="0.2">
      <c r="B76" s="10">
        <v>71</v>
      </c>
      <c r="C76" s="20">
        <v>46125</v>
      </c>
      <c r="D76" s="12" t="s">
        <v>149</v>
      </c>
      <c r="E76" s="12" t="s">
        <v>24</v>
      </c>
      <c r="F76" s="14">
        <v>0.58333333333333337</v>
      </c>
      <c r="G76" s="14">
        <v>0.60416666666666663</v>
      </c>
      <c r="H76" s="15">
        <f t="shared" si="0"/>
        <v>0.49999999999999822</v>
      </c>
      <c r="I76" s="16">
        <f t="shared" si="1"/>
        <v>999.99999999999648</v>
      </c>
      <c r="J76" s="2"/>
      <c r="K76" s="2"/>
    </row>
    <row r="77" spans="2:11" ht="12.75" x14ac:dyDescent="0.2">
      <c r="B77" s="18">
        <v>72</v>
      </c>
      <c r="C77" s="20">
        <v>46125</v>
      </c>
      <c r="D77" s="12" t="s">
        <v>149</v>
      </c>
      <c r="E77" s="12" t="s">
        <v>27</v>
      </c>
      <c r="F77" s="14">
        <v>0.60416666666666663</v>
      </c>
      <c r="G77" s="14">
        <v>0.61458333333333337</v>
      </c>
      <c r="H77" s="15">
        <f t="shared" si="0"/>
        <v>0.25000000000000178</v>
      </c>
      <c r="I77" s="16">
        <f t="shared" si="1"/>
        <v>500.00000000000352</v>
      </c>
      <c r="J77" s="2"/>
      <c r="K77" s="2"/>
    </row>
    <row r="78" spans="2:11" ht="12.75" x14ac:dyDescent="0.2">
      <c r="B78" s="10">
        <v>73</v>
      </c>
      <c r="C78" s="20">
        <v>46125</v>
      </c>
      <c r="D78" s="12" t="s">
        <v>149</v>
      </c>
      <c r="E78" s="12" t="s">
        <v>28</v>
      </c>
      <c r="F78" s="14">
        <v>0.61458333333333337</v>
      </c>
      <c r="G78" s="14">
        <v>0.625</v>
      </c>
      <c r="H78" s="15">
        <f t="shared" si="0"/>
        <v>0.24999999999999911</v>
      </c>
      <c r="I78" s="16">
        <f t="shared" si="1"/>
        <v>499.99999999999824</v>
      </c>
      <c r="J78" s="2"/>
      <c r="K78" s="2"/>
    </row>
    <row r="79" spans="2:11" ht="12.75" x14ac:dyDescent="0.2">
      <c r="B79" s="10">
        <v>74</v>
      </c>
      <c r="C79" s="20">
        <v>46125</v>
      </c>
      <c r="D79" s="12" t="s">
        <v>149</v>
      </c>
      <c r="E79" s="12" t="s">
        <v>29</v>
      </c>
      <c r="F79" s="14">
        <v>0.625</v>
      </c>
      <c r="G79" s="14">
        <v>0.66666666666666663</v>
      </c>
      <c r="H79" s="15">
        <f t="shared" si="0"/>
        <v>0.999999999999999</v>
      </c>
      <c r="I79" s="16">
        <f t="shared" si="1"/>
        <v>1999.999999999998</v>
      </c>
      <c r="J79" s="2"/>
      <c r="K79" s="2"/>
    </row>
    <row r="80" spans="2:11" ht="12.75" x14ac:dyDescent="0.2">
      <c r="B80" s="10">
        <v>75</v>
      </c>
      <c r="C80" s="20">
        <v>46125</v>
      </c>
      <c r="D80" s="12" t="s">
        <v>149</v>
      </c>
      <c r="E80" s="12" t="s">
        <v>30</v>
      </c>
      <c r="F80" s="14">
        <v>0.33333333333333331</v>
      </c>
      <c r="G80" s="14">
        <v>0.3611111111111111</v>
      </c>
      <c r="H80" s="15">
        <f t="shared" si="0"/>
        <v>0.66666666666666685</v>
      </c>
      <c r="I80" s="16">
        <f t="shared" si="1"/>
        <v>1333.3333333333337</v>
      </c>
      <c r="J80" s="2"/>
      <c r="K80" s="2"/>
    </row>
    <row r="81" spans="2:11" ht="25.5" x14ac:dyDescent="0.2">
      <c r="B81" s="18">
        <v>76</v>
      </c>
      <c r="C81" s="20">
        <v>46125</v>
      </c>
      <c r="D81" s="12" t="s">
        <v>149</v>
      </c>
      <c r="E81" s="12" t="s">
        <v>31</v>
      </c>
      <c r="F81" s="14">
        <v>0.375</v>
      </c>
      <c r="G81" s="14">
        <v>0.39583333333333331</v>
      </c>
      <c r="H81" s="15">
        <f t="shared" si="0"/>
        <v>0.4999999999999995</v>
      </c>
      <c r="I81" s="16">
        <f t="shared" si="1"/>
        <v>999.99999999999898</v>
      </c>
      <c r="J81" s="2"/>
      <c r="K81" s="2"/>
    </row>
    <row r="82" spans="2:11" ht="25.5" x14ac:dyDescent="0.2">
      <c r="B82" s="18">
        <v>77</v>
      </c>
      <c r="C82" s="20">
        <v>46125</v>
      </c>
      <c r="D82" s="12" t="s">
        <v>149</v>
      </c>
      <c r="E82" s="12" t="s">
        <v>32</v>
      </c>
      <c r="F82" s="14">
        <v>0.39583333333333331</v>
      </c>
      <c r="G82" s="14">
        <v>0.4375</v>
      </c>
      <c r="H82" s="15">
        <f t="shared" si="0"/>
        <v>1.0000000000000004</v>
      </c>
      <c r="I82" s="16">
        <f t="shared" si="1"/>
        <v>2000.0000000000009</v>
      </c>
      <c r="J82" s="2"/>
      <c r="K82" s="2"/>
    </row>
    <row r="83" spans="2:11" ht="38.25" x14ac:dyDescent="0.2">
      <c r="B83" s="18">
        <v>78</v>
      </c>
      <c r="C83" s="20">
        <v>46125</v>
      </c>
      <c r="D83" s="12" t="s">
        <v>9</v>
      </c>
      <c r="E83" s="12" t="s">
        <v>73</v>
      </c>
      <c r="F83" s="14">
        <v>0.45833333333333331</v>
      </c>
      <c r="G83" s="14">
        <v>0.47569444444444442</v>
      </c>
      <c r="H83" s="15">
        <f t="shared" si="0"/>
        <v>0.41666666666666657</v>
      </c>
      <c r="I83" s="16">
        <f t="shared" si="1"/>
        <v>0</v>
      </c>
      <c r="J83" s="2"/>
      <c r="K83" s="2"/>
    </row>
    <row r="84" spans="2:11" ht="12.75" x14ac:dyDescent="0.2">
      <c r="B84" s="18">
        <v>79</v>
      </c>
      <c r="C84" s="20">
        <v>46125</v>
      </c>
      <c r="D84" s="12" t="s">
        <v>9</v>
      </c>
      <c r="E84" s="12" t="s">
        <v>129</v>
      </c>
      <c r="F84" s="14">
        <v>0.47916666666666669</v>
      </c>
      <c r="G84" s="14">
        <v>0.5</v>
      </c>
      <c r="H84" s="15">
        <f t="shared" si="0"/>
        <v>0.4999999999999995</v>
      </c>
      <c r="I84" s="16">
        <f t="shared" si="1"/>
        <v>0</v>
      </c>
      <c r="J84" s="2"/>
      <c r="K84" s="2"/>
    </row>
    <row r="85" spans="2:11" ht="12.75" x14ac:dyDescent="0.2">
      <c r="B85" s="18">
        <v>80</v>
      </c>
      <c r="C85" s="20">
        <v>46125</v>
      </c>
      <c r="D85" s="12" t="s">
        <v>149</v>
      </c>
      <c r="E85" s="12" t="s">
        <v>33</v>
      </c>
      <c r="F85" s="14">
        <v>0.52083333333333337</v>
      </c>
      <c r="G85" s="14">
        <v>0.54166666666666663</v>
      </c>
      <c r="H85" s="15">
        <f t="shared" si="0"/>
        <v>0.49999999999999822</v>
      </c>
      <c r="I85" s="16">
        <f t="shared" si="1"/>
        <v>999.99999999999648</v>
      </c>
      <c r="J85" s="2"/>
      <c r="K85" s="2"/>
    </row>
    <row r="86" spans="2:11" ht="12.75" x14ac:dyDescent="0.2">
      <c r="B86" s="10">
        <v>81</v>
      </c>
      <c r="C86" s="20">
        <v>46125</v>
      </c>
      <c r="D86" s="12" t="s">
        <v>9</v>
      </c>
      <c r="E86" s="12" t="s">
        <v>74</v>
      </c>
      <c r="F86" s="14">
        <v>0.54166666666666663</v>
      </c>
      <c r="G86" s="14">
        <v>0.5625</v>
      </c>
      <c r="H86" s="15"/>
      <c r="I86" s="16"/>
      <c r="J86" s="2"/>
      <c r="K86" s="2"/>
    </row>
    <row r="87" spans="2:11" ht="25.5" x14ac:dyDescent="0.2">
      <c r="B87" s="18">
        <v>82</v>
      </c>
      <c r="C87" s="20">
        <v>46125</v>
      </c>
      <c r="D87" s="12" t="s">
        <v>9</v>
      </c>
      <c r="E87" s="12" t="s">
        <v>130</v>
      </c>
      <c r="F87" s="14">
        <v>0.5625</v>
      </c>
      <c r="G87" s="14">
        <v>0.58333333333333337</v>
      </c>
      <c r="H87" s="15">
        <f t="shared" ref="H87:H178" si="2">(G87-F87)*1440/60</f>
        <v>0.50000000000000089</v>
      </c>
      <c r="I87" s="16">
        <f t="shared" ref="I87:I178" si="3">IF(D87="УФ",0,H87*$I$4)</f>
        <v>0</v>
      </c>
      <c r="J87" s="2"/>
      <c r="K87" s="2"/>
    </row>
    <row r="88" spans="2:11" ht="12.75" x14ac:dyDescent="0.2">
      <c r="B88" s="10">
        <v>83</v>
      </c>
      <c r="C88" s="20">
        <v>46125</v>
      </c>
      <c r="D88" s="12" t="s">
        <v>9</v>
      </c>
      <c r="E88" s="12" t="s">
        <v>131</v>
      </c>
      <c r="F88" s="14">
        <v>0.58333333333333337</v>
      </c>
      <c r="G88" s="14">
        <v>0.60416666666666663</v>
      </c>
      <c r="H88" s="15">
        <f t="shared" si="2"/>
        <v>0.49999999999999822</v>
      </c>
      <c r="I88" s="16">
        <f t="shared" si="3"/>
        <v>0</v>
      </c>
      <c r="J88" s="2"/>
      <c r="K88" s="2"/>
    </row>
    <row r="89" spans="2:11" ht="12.75" x14ac:dyDescent="0.2">
      <c r="B89" s="10">
        <v>84</v>
      </c>
      <c r="C89" s="20">
        <v>46125</v>
      </c>
      <c r="D89" s="12" t="s">
        <v>9</v>
      </c>
      <c r="E89" s="12" t="s">
        <v>75</v>
      </c>
      <c r="F89" s="14">
        <v>0.625</v>
      </c>
      <c r="G89" s="14">
        <v>0.66666666666666663</v>
      </c>
      <c r="H89" s="15">
        <f t="shared" si="2"/>
        <v>0.999999999999999</v>
      </c>
      <c r="I89" s="16">
        <f t="shared" si="3"/>
        <v>0</v>
      </c>
      <c r="J89" s="2"/>
      <c r="K89" s="2"/>
    </row>
    <row r="90" spans="2:11" ht="25.5" x14ac:dyDescent="0.2">
      <c r="B90" s="10">
        <v>85</v>
      </c>
      <c r="C90" s="20">
        <v>46126</v>
      </c>
      <c r="D90" s="12" t="s">
        <v>149</v>
      </c>
      <c r="E90" s="12" t="s">
        <v>34</v>
      </c>
      <c r="F90" s="14">
        <v>0.33333333333333331</v>
      </c>
      <c r="G90" s="14">
        <v>0.3888888888888889</v>
      </c>
      <c r="H90" s="15">
        <f t="shared" si="2"/>
        <v>1.3333333333333337</v>
      </c>
      <c r="I90" s="16">
        <f t="shared" si="3"/>
        <v>2666.6666666666674</v>
      </c>
      <c r="J90" s="2"/>
      <c r="K90" s="2"/>
    </row>
    <row r="91" spans="2:11" ht="25.5" x14ac:dyDescent="0.2">
      <c r="B91" s="18">
        <v>86</v>
      </c>
      <c r="C91" s="20">
        <v>46126</v>
      </c>
      <c r="D91" s="12" t="s">
        <v>9</v>
      </c>
      <c r="E91" s="12" t="s">
        <v>132</v>
      </c>
      <c r="F91" s="14">
        <v>0.40972222222222221</v>
      </c>
      <c r="G91" s="14">
        <v>0.5</v>
      </c>
      <c r="H91" s="15">
        <f t="shared" si="2"/>
        <v>2.166666666666667</v>
      </c>
      <c r="I91" s="16">
        <f t="shared" si="3"/>
        <v>0</v>
      </c>
      <c r="J91" s="2"/>
      <c r="K91" s="2"/>
    </row>
    <row r="92" spans="2:11" ht="25.5" x14ac:dyDescent="0.2">
      <c r="B92" s="18">
        <v>87</v>
      </c>
      <c r="C92" s="20">
        <v>46126</v>
      </c>
      <c r="D92" s="12" t="s">
        <v>149</v>
      </c>
      <c r="E92" s="12" t="s">
        <v>35</v>
      </c>
      <c r="F92" s="14">
        <v>0.54166666666666663</v>
      </c>
      <c r="G92" s="14">
        <v>0.5625</v>
      </c>
      <c r="H92" s="15">
        <f t="shared" si="2"/>
        <v>0.50000000000000089</v>
      </c>
      <c r="I92" s="16">
        <f t="shared" si="3"/>
        <v>1000.0000000000018</v>
      </c>
      <c r="J92" s="2"/>
      <c r="K92" s="2"/>
    </row>
    <row r="93" spans="2:11" ht="12.75" x14ac:dyDescent="0.2">
      <c r="B93" s="18">
        <v>88</v>
      </c>
      <c r="C93" s="20">
        <v>46126</v>
      </c>
      <c r="D93" s="12" t="s">
        <v>149</v>
      </c>
      <c r="E93" s="12" t="s">
        <v>36</v>
      </c>
      <c r="F93" s="14">
        <v>0.58333333333333337</v>
      </c>
      <c r="G93" s="14">
        <v>0.60416666666666663</v>
      </c>
      <c r="H93" s="15">
        <f t="shared" si="2"/>
        <v>0.49999999999999822</v>
      </c>
      <c r="I93" s="16">
        <f t="shared" si="3"/>
        <v>999.99999999999648</v>
      </c>
      <c r="J93" s="2"/>
      <c r="K93" s="2"/>
    </row>
    <row r="94" spans="2:11" ht="12.75" x14ac:dyDescent="0.2">
      <c r="B94" s="18">
        <v>89</v>
      </c>
      <c r="C94" s="20">
        <v>46126</v>
      </c>
      <c r="D94" s="12" t="s">
        <v>9</v>
      </c>
      <c r="E94" s="12" t="s">
        <v>76</v>
      </c>
      <c r="F94" s="14">
        <v>0.60416666666666663</v>
      </c>
      <c r="G94" s="14">
        <v>0.625</v>
      </c>
      <c r="H94" s="15">
        <f t="shared" si="2"/>
        <v>0.50000000000000089</v>
      </c>
      <c r="I94" s="16">
        <f t="shared" si="3"/>
        <v>0</v>
      </c>
      <c r="J94" s="2"/>
      <c r="K94" s="2"/>
    </row>
    <row r="95" spans="2:11" ht="12.75" x14ac:dyDescent="0.2">
      <c r="B95" s="18">
        <v>90</v>
      </c>
      <c r="C95" s="20">
        <v>46126</v>
      </c>
      <c r="D95" s="12" t="s">
        <v>149</v>
      </c>
      <c r="E95" s="12" t="s">
        <v>37</v>
      </c>
      <c r="F95" s="14">
        <v>0.625</v>
      </c>
      <c r="G95" s="14">
        <v>0.65277777777777779</v>
      </c>
      <c r="H95" s="15">
        <f t="shared" si="2"/>
        <v>0.66666666666666685</v>
      </c>
      <c r="I95" s="16">
        <f t="shared" si="3"/>
        <v>1333.3333333333337</v>
      </c>
      <c r="J95" s="2"/>
      <c r="K95" s="2"/>
    </row>
    <row r="96" spans="2:11" ht="12.75" x14ac:dyDescent="0.2">
      <c r="B96" s="10">
        <v>91</v>
      </c>
      <c r="C96" s="20">
        <v>46127</v>
      </c>
      <c r="D96" s="12" t="s">
        <v>9</v>
      </c>
      <c r="E96" s="12" t="s">
        <v>152</v>
      </c>
      <c r="F96" s="14">
        <v>0.33333333333333331</v>
      </c>
      <c r="G96" s="14">
        <v>0.41666666666666669</v>
      </c>
      <c r="H96" s="15">
        <f t="shared" si="2"/>
        <v>2.0000000000000009</v>
      </c>
      <c r="I96" s="16">
        <f t="shared" si="3"/>
        <v>0</v>
      </c>
      <c r="J96" s="2"/>
      <c r="K96" s="2"/>
    </row>
    <row r="97" spans="2:11" ht="25.5" x14ac:dyDescent="0.2">
      <c r="B97" s="18">
        <v>92</v>
      </c>
      <c r="C97" s="20">
        <v>46127</v>
      </c>
      <c r="D97" s="12" t="s">
        <v>149</v>
      </c>
      <c r="E97" s="12" t="s">
        <v>38</v>
      </c>
      <c r="F97" s="14">
        <v>0.4201388888888889</v>
      </c>
      <c r="G97" s="14">
        <v>0.4375</v>
      </c>
      <c r="H97" s="15">
        <f t="shared" si="2"/>
        <v>0.41666666666666657</v>
      </c>
      <c r="I97" s="16">
        <f t="shared" si="3"/>
        <v>833.33333333333314</v>
      </c>
      <c r="J97" s="2"/>
      <c r="K97" s="2"/>
    </row>
    <row r="98" spans="2:11" ht="12.75" x14ac:dyDescent="0.2">
      <c r="B98" s="10">
        <v>93</v>
      </c>
      <c r="C98" s="20">
        <v>46127</v>
      </c>
      <c r="D98" s="12" t="s">
        <v>9</v>
      </c>
      <c r="E98" s="12" t="s">
        <v>133</v>
      </c>
      <c r="F98" s="14">
        <v>0.4375</v>
      </c>
      <c r="G98" s="14">
        <v>0.44444444444444442</v>
      </c>
      <c r="H98" s="15">
        <f t="shared" si="2"/>
        <v>0.16666666666666607</v>
      </c>
      <c r="I98" s="16">
        <f t="shared" si="3"/>
        <v>0</v>
      </c>
      <c r="J98" s="2"/>
      <c r="K98" s="2"/>
    </row>
    <row r="99" spans="2:11" ht="12.75" x14ac:dyDescent="0.2">
      <c r="B99" s="10">
        <v>94</v>
      </c>
      <c r="C99" s="20">
        <v>46127</v>
      </c>
      <c r="D99" s="12" t="s">
        <v>149</v>
      </c>
      <c r="E99" s="12" t="s">
        <v>39</v>
      </c>
      <c r="F99" s="14">
        <v>0.44444444444444442</v>
      </c>
      <c r="G99" s="14">
        <v>0.47222222222222221</v>
      </c>
      <c r="H99" s="15">
        <f t="shared" si="2"/>
        <v>0.66666666666666685</v>
      </c>
      <c r="I99" s="16">
        <f t="shared" si="3"/>
        <v>1333.3333333333337</v>
      </c>
      <c r="J99" s="2"/>
      <c r="K99" s="2"/>
    </row>
    <row r="100" spans="2:11" ht="12.75" x14ac:dyDescent="0.2">
      <c r="B100" s="10">
        <v>95</v>
      </c>
      <c r="C100" s="20">
        <v>46127</v>
      </c>
      <c r="D100" s="12" t="s">
        <v>9</v>
      </c>
      <c r="E100" s="12" t="s">
        <v>77</v>
      </c>
      <c r="F100" s="14">
        <v>0.47222222222222221</v>
      </c>
      <c r="G100" s="14">
        <v>0.47916666666666669</v>
      </c>
      <c r="H100" s="15">
        <f t="shared" si="2"/>
        <v>0.16666666666666741</v>
      </c>
      <c r="I100" s="16">
        <f t="shared" si="3"/>
        <v>0</v>
      </c>
      <c r="J100" s="2"/>
      <c r="K100" s="2"/>
    </row>
    <row r="101" spans="2:11" ht="12.75" x14ac:dyDescent="0.2">
      <c r="B101" s="18">
        <f>96</f>
        <v>96</v>
      </c>
      <c r="C101" s="20">
        <v>46127</v>
      </c>
      <c r="D101" s="12" t="s">
        <v>9</v>
      </c>
      <c r="E101" s="12" t="s">
        <v>78</v>
      </c>
      <c r="F101" s="14">
        <v>0.52083333333333337</v>
      </c>
      <c r="G101" s="14">
        <v>0.5625</v>
      </c>
      <c r="H101" s="15">
        <f t="shared" si="2"/>
        <v>0.999999999999999</v>
      </c>
      <c r="I101" s="16">
        <f t="shared" si="3"/>
        <v>0</v>
      </c>
      <c r="J101" s="2"/>
      <c r="K101" s="2"/>
    </row>
    <row r="102" spans="2:11" ht="25.5" x14ac:dyDescent="0.2">
      <c r="B102" s="18">
        <f t="shared" ref="B102:B176" si="4">B101+1</f>
        <v>97</v>
      </c>
      <c r="C102" s="20">
        <v>46127</v>
      </c>
      <c r="D102" s="12" t="s">
        <v>168</v>
      </c>
      <c r="E102" s="12" t="s">
        <v>40</v>
      </c>
      <c r="F102" s="14">
        <v>0.60416666666666663</v>
      </c>
      <c r="G102" s="14">
        <v>0.66666666666666663</v>
      </c>
      <c r="H102" s="15">
        <f t="shared" si="2"/>
        <v>1.5</v>
      </c>
      <c r="I102" s="16">
        <f t="shared" si="3"/>
        <v>3000</v>
      </c>
      <c r="J102" s="2"/>
      <c r="K102" s="2"/>
    </row>
    <row r="103" spans="2:11" ht="12.75" x14ac:dyDescent="0.2">
      <c r="B103" s="18">
        <f t="shared" si="4"/>
        <v>98</v>
      </c>
      <c r="C103" s="20">
        <v>46127</v>
      </c>
      <c r="D103" s="12" t="s">
        <v>9</v>
      </c>
      <c r="E103" s="12" t="s">
        <v>79</v>
      </c>
      <c r="F103" s="14">
        <v>0.66666666666666663</v>
      </c>
      <c r="G103" s="14">
        <v>0.6875</v>
      </c>
      <c r="H103" s="15">
        <f t="shared" si="2"/>
        <v>0.50000000000000089</v>
      </c>
      <c r="I103" s="16">
        <f t="shared" si="3"/>
        <v>0</v>
      </c>
      <c r="J103" s="2"/>
      <c r="K103" s="2"/>
    </row>
    <row r="104" spans="2:11" ht="25.5" x14ac:dyDescent="0.2">
      <c r="B104" s="18">
        <f t="shared" si="4"/>
        <v>99</v>
      </c>
      <c r="C104" s="20">
        <v>46127</v>
      </c>
      <c r="D104" s="12" t="s">
        <v>168</v>
      </c>
      <c r="E104" s="12" t="s">
        <v>41</v>
      </c>
      <c r="F104" s="14">
        <v>0.6875</v>
      </c>
      <c r="G104" s="14">
        <v>0.75</v>
      </c>
      <c r="H104" s="15">
        <f t="shared" si="2"/>
        <v>1.5</v>
      </c>
      <c r="I104" s="16">
        <f t="shared" si="3"/>
        <v>3000</v>
      </c>
      <c r="J104" s="2"/>
      <c r="K104" s="2"/>
    </row>
    <row r="105" spans="2:11" ht="12.75" x14ac:dyDescent="0.2">
      <c r="B105" s="18">
        <f t="shared" si="4"/>
        <v>100</v>
      </c>
      <c r="C105" s="20">
        <v>46128</v>
      </c>
      <c r="D105" s="12" t="s">
        <v>149</v>
      </c>
      <c r="E105" s="12" t="s">
        <v>14</v>
      </c>
      <c r="F105" s="14">
        <v>0.33333333333333331</v>
      </c>
      <c r="G105" s="14">
        <v>0.35416666666666669</v>
      </c>
      <c r="H105" s="15">
        <f t="shared" si="2"/>
        <v>0.50000000000000089</v>
      </c>
      <c r="I105" s="16">
        <f t="shared" si="3"/>
        <v>1000.0000000000018</v>
      </c>
      <c r="J105" s="2"/>
      <c r="K105" s="2"/>
    </row>
    <row r="106" spans="2:11" ht="25.5" x14ac:dyDescent="0.2">
      <c r="B106" s="18">
        <f t="shared" si="4"/>
        <v>101</v>
      </c>
      <c r="C106" s="20">
        <v>46128</v>
      </c>
      <c r="D106" s="12" t="s">
        <v>168</v>
      </c>
      <c r="E106" s="12" t="s">
        <v>42</v>
      </c>
      <c r="F106" s="14">
        <v>0.35416666666666669</v>
      </c>
      <c r="G106" s="14">
        <v>0.39583333333333331</v>
      </c>
      <c r="H106" s="15">
        <f t="shared" si="2"/>
        <v>0.999999999999999</v>
      </c>
      <c r="I106" s="16">
        <f t="shared" si="3"/>
        <v>1999.999999999998</v>
      </c>
      <c r="J106" s="2"/>
      <c r="K106" s="2"/>
    </row>
    <row r="107" spans="2:11" ht="12.75" x14ac:dyDescent="0.2">
      <c r="B107" s="18">
        <f t="shared" si="4"/>
        <v>102</v>
      </c>
      <c r="C107" s="20">
        <v>46128</v>
      </c>
      <c r="D107" s="12" t="s">
        <v>9</v>
      </c>
      <c r="E107" s="12" t="s">
        <v>80</v>
      </c>
      <c r="F107" s="14">
        <v>0.39583333333333331</v>
      </c>
      <c r="G107" s="14">
        <v>0.45833333333333331</v>
      </c>
      <c r="H107" s="15">
        <f t="shared" si="2"/>
        <v>1.5</v>
      </c>
      <c r="I107" s="16">
        <f t="shared" si="3"/>
        <v>0</v>
      </c>
      <c r="J107" s="2"/>
      <c r="K107" s="2"/>
    </row>
    <row r="108" spans="2:11" ht="25.5" x14ac:dyDescent="0.2">
      <c r="B108" s="18">
        <f t="shared" si="4"/>
        <v>103</v>
      </c>
      <c r="C108" s="20">
        <v>46128</v>
      </c>
      <c r="D108" s="12" t="s">
        <v>169</v>
      </c>
      <c r="E108" s="12" t="s">
        <v>43</v>
      </c>
      <c r="F108" s="14">
        <v>0.47222222222222221</v>
      </c>
      <c r="G108" s="14">
        <v>0.51388888888888884</v>
      </c>
      <c r="H108" s="15">
        <f t="shared" si="2"/>
        <v>0.999999999999999</v>
      </c>
      <c r="I108" s="16">
        <f t="shared" si="3"/>
        <v>1999.999999999998</v>
      </c>
      <c r="J108" s="2"/>
      <c r="K108" s="2"/>
    </row>
    <row r="109" spans="2:11" ht="12.75" x14ac:dyDescent="0.2">
      <c r="B109" s="18">
        <f t="shared" si="4"/>
        <v>104</v>
      </c>
      <c r="C109" s="20">
        <v>46128</v>
      </c>
      <c r="D109" s="12" t="s">
        <v>169</v>
      </c>
      <c r="E109" s="12" t="s">
        <v>171</v>
      </c>
      <c r="F109" s="14">
        <v>0.51388888888888884</v>
      </c>
      <c r="G109" s="14">
        <v>0.56944444444444442</v>
      </c>
      <c r="H109" s="15">
        <f t="shared" si="2"/>
        <v>1.3333333333333337</v>
      </c>
      <c r="I109" s="16">
        <f t="shared" si="3"/>
        <v>2666.6666666666674</v>
      </c>
      <c r="J109" s="2"/>
      <c r="K109" s="2"/>
    </row>
    <row r="110" spans="2:11" ht="12.75" x14ac:dyDescent="0.2">
      <c r="B110" s="18">
        <f t="shared" si="4"/>
        <v>105</v>
      </c>
      <c r="C110" s="20">
        <v>46128</v>
      </c>
      <c r="D110" s="12" t="s">
        <v>169</v>
      </c>
      <c r="E110" s="12" t="s">
        <v>172</v>
      </c>
      <c r="F110" s="14">
        <v>0.58333333333333337</v>
      </c>
      <c r="G110" s="14">
        <v>0.69444444444444442</v>
      </c>
      <c r="H110" s="15">
        <f t="shared" si="2"/>
        <v>2.6666666666666652</v>
      </c>
      <c r="I110" s="16">
        <f t="shared" si="3"/>
        <v>5333.3333333333303</v>
      </c>
      <c r="J110" s="2"/>
      <c r="K110" s="2"/>
    </row>
    <row r="111" spans="2:11" ht="12.75" x14ac:dyDescent="0.2">
      <c r="B111" s="18">
        <f t="shared" si="4"/>
        <v>106</v>
      </c>
      <c r="C111" s="20">
        <v>46129</v>
      </c>
      <c r="D111" s="12" t="s">
        <v>169</v>
      </c>
      <c r="E111" s="12" t="s">
        <v>173</v>
      </c>
      <c r="F111" s="14">
        <v>0.33333333333333331</v>
      </c>
      <c r="G111" s="14">
        <v>0.375</v>
      </c>
      <c r="H111" s="15">
        <f t="shared" si="2"/>
        <v>1.0000000000000004</v>
      </c>
      <c r="I111" s="16">
        <f t="shared" si="3"/>
        <v>2000.0000000000009</v>
      </c>
      <c r="J111" s="2"/>
      <c r="K111" s="2"/>
    </row>
    <row r="112" spans="2:11" ht="25.5" x14ac:dyDescent="0.2">
      <c r="B112" s="18">
        <f t="shared" si="4"/>
        <v>107</v>
      </c>
      <c r="C112" s="20">
        <v>46129</v>
      </c>
      <c r="D112" s="12" t="s">
        <v>149</v>
      </c>
      <c r="E112" s="12" t="s">
        <v>44</v>
      </c>
      <c r="F112" s="14">
        <v>0.375</v>
      </c>
      <c r="G112" s="14">
        <v>0.40277777777777779</v>
      </c>
      <c r="H112" s="15">
        <f t="shared" si="2"/>
        <v>0.66666666666666685</v>
      </c>
      <c r="I112" s="16">
        <f t="shared" si="3"/>
        <v>1333.3333333333337</v>
      </c>
      <c r="J112" s="2"/>
      <c r="K112" s="2"/>
    </row>
    <row r="113" spans="1:28" ht="12.75" x14ac:dyDescent="0.2">
      <c r="B113" s="18">
        <f t="shared" si="4"/>
        <v>108</v>
      </c>
      <c r="C113" s="20">
        <v>46129</v>
      </c>
      <c r="D113" s="12" t="s">
        <v>9</v>
      </c>
      <c r="E113" s="12" t="s">
        <v>81</v>
      </c>
      <c r="F113" s="14">
        <v>0.41666666666666669</v>
      </c>
      <c r="G113" s="14">
        <v>0.44791666666666669</v>
      </c>
      <c r="H113" s="15">
        <f t="shared" si="2"/>
        <v>0.75</v>
      </c>
      <c r="I113" s="16">
        <f t="shared" si="3"/>
        <v>0</v>
      </c>
      <c r="J113" s="2"/>
      <c r="K113" s="2"/>
    </row>
    <row r="114" spans="1:28" ht="12.75" x14ac:dyDescent="0.2">
      <c r="B114" s="18">
        <f t="shared" si="4"/>
        <v>109</v>
      </c>
      <c r="C114" s="20">
        <v>46129</v>
      </c>
      <c r="D114" s="12" t="s">
        <v>9</v>
      </c>
      <c r="E114" s="12" t="s">
        <v>82</v>
      </c>
      <c r="F114" s="14">
        <v>0.45833333333333331</v>
      </c>
      <c r="G114" s="14">
        <v>0.54166666666666663</v>
      </c>
      <c r="H114" s="15">
        <f t="shared" si="2"/>
        <v>1.9999999999999996</v>
      </c>
      <c r="I114" s="16">
        <f t="shared" si="3"/>
        <v>0</v>
      </c>
      <c r="J114" s="2"/>
      <c r="K114" s="2"/>
    </row>
    <row r="115" spans="1:28" ht="12.75" x14ac:dyDescent="0.2">
      <c r="B115" s="18">
        <f t="shared" si="4"/>
        <v>110</v>
      </c>
      <c r="C115" s="20">
        <v>46129</v>
      </c>
      <c r="D115" s="12" t="s">
        <v>9</v>
      </c>
      <c r="E115" s="12" t="s">
        <v>83</v>
      </c>
      <c r="F115" s="14">
        <v>0.54166666666666663</v>
      </c>
      <c r="G115" s="14">
        <v>0.5625</v>
      </c>
      <c r="H115" s="15">
        <f t="shared" si="2"/>
        <v>0.50000000000000089</v>
      </c>
      <c r="I115" s="16">
        <f t="shared" si="3"/>
        <v>0</v>
      </c>
      <c r="J115" s="2"/>
      <c r="K115" s="2"/>
    </row>
    <row r="116" spans="1:28" ht="12.75" x14ac:dyDescent="0.2">
      <c r="B116" s="18">
        <f t="shared" si="4"/>
        <v>111</v>
      </c>
      <c r="C116" s="20">
        <v>46132</v>
      </c>
      <c r="D116" s="12" t="s">
        <v>9</v>
      </c>
      <c r="E116" s="12" t="s">
        <v>84</v>
      </c>
      <c r="F116" s="14">
        <v>0.33333333333333331</v>
      </c>
      <c r="G116" s="14">
        <v>0.39583333333333331</v>
      </c>
      <c r="H116" s="15">
        <f t="shared" si="2"/>
        <v>1.5</v>
      </c>
      <c r="I116" s="16">
        <f t="shared" si="3"/>
        <v>0</v>
      </c>
      <c r="J116" s="2"/>
      <c r="K116" s="2"/>
    </row>
    <row r="117" spans="1:28" ht="12.75" x14ac:dyDescent="0.2">
      <c r="B117" s="18">
        <f t="shared" si="4"/>
        <v>112</v>
      </c>
      <c r="C117" s="20">
        <v>46132</v>
      </c>
      <c r="D117" s="12" t="s">
        <v>149</v>
      </c>
      <c r="E117" s="12" t="s">
        <v>174</v>
      </c>
      <c r="F117" s="14">
        <v>0.39583333333333331</v>
      </c>
      <c r="G117" s="14">
        <v>0.4375</v>
      </c>
      <c r="H117" s="15">
        <f t="shared" si="2"/>
        <v>1.0000000000000004</v>
      </c>
      <c r="I117" s="16">
        <f t="shared" si="3"/>
        <v>2000.0000000000009</v>
      </c>
      <c r="J117" s="2"/>
      <c r="K117" s="2"/>
    </row>
    <row r="118" spans="1:28" ht="25.5" x14ac:dyDescent="0.2">
      <c r="B118" s="18">
        <f t="shared" si="4"/>
        <v>113</v>
      </c>
      <c r="C118" s="20">
        <v>46132</v>
      </c>
      <c r="D118" s="12" t="s">
        <v>149</v>
      </c>
      <c r="E118" s="12" t="s">
        <v>45</v>
      </c>
      <c r="F118" s="14">
        <v>0.4375</v>
      </c>
      <c r="G118" s="14">
        <v>0.47222222222222221</v>
      </c>
      <c r="H118" s="15">
        <f t="shared" si="2"/>
        <v>0.83333333333333315</v>
      </c>
      <c r="I118" s="16">
        <f t="shared" si="3"/>
        <v>1666.6666666666663</v>
      </c>
      <c r="J118" s="2"/>
      <c r="K118" s="2"/>
    </row>
    <row r="119" spans="1:28" ht="12.75" x14ac:dyDescent="0.2">
      <c r="B119" s="18">
        <f t="shared" si="4"/>
        <v>114</v>
      </c>
      <c r="C119" s="20">
        <v>46132</v>
      </c>
      <c r="D119" s="12" t="s">
        <v>149</v>
      </c>
      <c r="E119" s="12" t="s">
        <v>46</v>
      </c>
      <c r="F119" s="14">
        <v>0.5</v>
      </c>
      <c r="G119" s="14">
        <v>0.52083333333333337</v>
      </c>
      <c r="H119" s="15">
        <f t="shared" si="2"/>
        <v>0.50000000000000089</v>
      </c>
      <c r="I119" s="16">
        <f t="shared" si="3"/>
        <v>1000.0000000000018</v>
      </c>
      <c r="J119" s="2"/>
      <c r="K119" s="2"/>
    </row>
    <row r="120" spans="1:28" ht="25.5" x14ac:dyDescent="0.2">
      <c r="B120" s="18">
        <f t="shared" si="4"/>
        <v>115</v>
      </c>
      <c r="C120" s="20">
        <v>46132</v>
      </c>
      <c r="D120" s="12" t="s">
        <v>170</v>
      </c>
      <c r="E120" s="12" t="s">
        <v>175</v>
      </c>
      <c r="F120" s="14">
        <v>0.54166666666666663</v>
      </c>
      <c r="G120" s="14">
        <v>0.58333333333333337</v>
      </c>
      <c r="H120" s="15">
        <f t="shared" si="2"/>
        <v>1.0000000000000018</v>
      </c>
      <c r="I120" s="16">
        <f t="shared" si="3"/>
        <v>2000.0000000000036</v>
      </c>
      <c r="J120" s="2"/>
      <c r="K120" s="2"/>
    </row>
    <row r="121" spans="1:28" ht="25.5" x14ac:dyDescent="0.2">
      <c r="B121" s="18">
        <f t="shared" si="4"/>
        <v>116</v>
      </c>
      <c r="C121" s="20">
        <v>46132</v>
      </c>
      <c r="D121" s="12" t="s">
        <v>9</v>
      </c>
      <c r="E121" s="12" t="s">
        <v>85</v>
      </c>
      <c r="F121" s="14">
        <v>0.58333333333333337</v>
      </c>
      <c r="G121" s="14">
        <v>0.625</v>
      </c>
      <c r="H121" s="15">
        <f t="shared" si="2"/>
        <v>0.999999999999999</v>
      </c>
      <c r="I121" s="16">
        <f t="shared" si="3"/>
        <v>0</v>
      </c>
      <c r="J121" s="2"/>
      <c r="K121" s="2"/>
    </row>
    <row r="122" spans="1:28" ht="12.75" x14ac:dyDescent="0.2">
      <c r="B122" s="18">
        <f t="shared" si="4"/>
        <v>117</v>
      </c>
      <c r="C122" s="20">
        <v>46132</v>
      </c>
      <c r="D122" s="12" t="s">
        <v>9</v>
      </c>
      <c r="E122" s="12" t="s">
        <v>86</v>
      </c>
      <c r="F122" s="14">
        <v>0.625</v>
      </c>
      <c r="G122" s="14">
        <v>0.6875</v>
      </c>
      <c r="H122" s="15">
        <f t="shared" si="2"/>
        <v>1.5</v>
      </c>
      <c r="I122" s="16">
        <f t="shared" si="3"/>
        <v>0</v>
      </c>
      <c r="J122" s="2"/>
      <c r="K122" s="2"/>
    </row>
    <row r="123" spans="1:28" ht="25.5" x14ac:dyDescent="0.2">
      <c r="A123" s="21"/>
      <c r="B123" s="18">
        <f t="shared" si="4"/>
        <v>118</v>
      </c>
      <c r="C123" s="20">
        <v>46133</v>
      </c>
      <c r="D123" s="12" t="s">
        <v>149</v>
      </c>
      <c r="E123" s="12" t="s">
        <v>153</v>
      </c>
      <c r="F123" s="14">
        <v>0.33333333333333331</v>
      </c>
      <c r="G123" s="14">
        <v>0.38541666666666669</v>
      </c>
      <c r="H123" s="15">
        <f t="shared" si="2"/>
        <v>1.2500000000000009</v>
      </c>
      <c r="I123" s="16">
        <f t="shared" si="3"/>
        <v>2500.0000000000018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6.5" x14ac:dyDescent="0.2">
      <c r="A124" s="21"/>
      <c r="B124" s="18">
        <f t="shared" si="4"/>
        <v>119</v>
      </c>
      <c r="C124" s="20">
        <v>46133</v>
      </c>
      <c r="D124" s="12" t="s">
        <v>186</v>
      </c>
      <c r="E124" s="12" t="s">
        <v>47</v>
      </c>
      <c r="F124" s="14">
        <v>0.38541666666666669</v>
      </c>
      <c r="G124" s="14">
        <v>0.45833333333333331</v>
      </c>
      <c r="H124" s="15">
        <f t="shared" si="2"/>
        <v>1.7499999999999991</v>
      </c>
      <c r="I124" s="16">
        <f t="shared" si="3"/>
        <v>3499.9999999999982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6.5" x14ac:dyDescent="0.2">
      <c r="A125" s="21"/>
      <c r="B125" s="18">
        <f t="shared" si="4"/>
        <v>120</v>
      </c>
      <c r="C125" s="20">
        <v>46133</v>
      </c>
      <c r="D125" s="12" t="s">
        <v>176</v>
      </c>
      <c r="E125" s="12" t="s">
        <v>177</v>
      </c>
      <c r="F125" s="14">
        <v>0.45833333333333331</v>
      </c>
      <c r="G125" s="14">
        <v>0.54166666666666663</v>
      </c>
      <c r="H125" s="15">
        <f t="shared" si="2"/>
        <v>1.9999999999999996</v>
      </c>
      <c r="I125" s="16">
        <f t="shared" si="3"/>
        <v>3999.9999999999991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6.5" x14ac:dyDescent="0.2">
      <c r="A126" s="21"/>
      <c r="B126" s="18">
        <f t="shared" si="4"/>
        <v>121</v>
      </c>
      <c r="C126" s="20">
        <v>46133</v>
      </c>
      <c r="D126" s="12" t="s">
        <v>9</v>
      </c>
      <c r="E126" s="12" t="s">
        <v>87</v>
      </c>
      <c r="F126" s="14">
        <v>0.54166666666666663</v>
      </c>
      <c r="G126" s="14">
        <v>0.5625</v>
      </c>
      <c r="H126" s="15">
        <f t="shared" si="2"/>
        <v>0.50000000000000089</v>
      </c>
      <c r="I126" s="16">
        <f t="shared" si="3"/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6.5" x14ac:dyDescent="0.2">
      <c r="A127" s="21"/>
      <c r="B127" s="18">
        <f t="shared" si="4"/>
        <v>122</v>
      </c>
      <c r="C127" s="20">
        <v>46133</v>
      </c>
      <c r="D127" s="12" t="s">
        <v>149</v>
      </c>
      <c r="E127" s="12" t="s">
        <v>179</v>
      </c>
      <c r="F127" s="14">
        <v>0.58333333333333337</v>
      </c>
      <c r="G127" s="14">
        <v>0.60416666666666663</v>
      </c>
      <c r="H127" s="15">
        <f t="shared" si="2"/>
        <v>0.49999999999999822</v>
      </c>
      <c r="I127" s="16">
        <f t="shared" si="3"/>
        <v>999.99999999999648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25.5" x14ac:dyDescent="0.2">
      <c r="A128" s="21"/>
      <c r="B128" s="18">
        <f t="shared" si="4"/>
        <v>123</v>
      </c>
      <c r="C128" s="20">
        <v>46133</v>
      </c>
      <c r="D128" s="12" t="s">
        <v>176</v>
      </c>
      <c r="E128" s="12" t="s">
        <v>178</v>
      </c>
      <c r="F128" s="14">
        <v>0.60416666666666663</v>
      </c>
      <c r="G128" s="14">
        <v>0.66666666666666663</v>
      </c>
      <c r="H128" s="15">
        <f t="shared" si="2"/>
        <v>1.5</v>
      </c>
      <c r="I128" s="16">
        <f t="shared" si="3"/>
        <v>3000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6.5" x14ac:dyDescent="0.2">
      <c r="A129" s="21"/>
      <c r="B129" s="18">
        <f t="shared" si="4"/>
        <v>124</v>
      </c>
      <c r="C129" s="20">
        <v>46133</v>
      </c>
      <c r="D129" s="12" t="s">
        <v>9</v>
      </c>
      <c r="E129" s="12" t="s">
        <v>88</v>
      </c>
      <c r="F129" s="14">
        <v>0.70833333333333337</v>
      </c>
      <c r="G129" s="14">
        <v>0.75</v>
      </c>
      <c r="H129" s="15">
        <f t="shared" si="2"/>
        <v>0.999999999999999</v>
      </c>
      <c r="I129" s="16">
        <f t="shared" si="3"/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51" x14ac:dyDescent="0.2">
      <c r="A130" s="21"/>
      <c r="B130" s="18">
        <f t="shared" si="4"/>
        <v>125</v>
      </c>
      <c r="C130" s="20">
        <v>46134</v>
      </c>
      <c r="D130" s="12" t="s">
        <v>9</v>
      </c>
      <c r="E130" s="12" t="s">
        <v>134</v>
      </c>
      <c r="F130" s="14">
        <v>0.29166666666666669</v>
      </c>
      <c r="G130" s="14">
        <v>0.33333333333333331</v>
      </c>
      <c r="H130" s="15">
        <f t="shared" si="2"/>
        <v>0.999999999999999</v>
      </c>
      <c r="I130" s="16">
        <f t="shared" si="3"/>
        <v>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51" x14ac:dyDescent="0.2">
      <c r="A131" s="21"/>
      <c r="B131" s="18">
        <f t="shared" si="4"/>
        <v>126</v>
      </c>
      <c r="C131" s="20">
        <v>46134</v>
      </c>
      <c r="D131" s="12" t="s">
        <v>149</v>
      </c>
      <c r="E131" s="12" t="s">
        <v>48</v>
      </c>
      <c r="F131" s="14">
        <v>0.33333333333333331</v>
      </c>
      <c r="G131" s="14">
        <v>0.3576388888888889</v>
      </c>
      <c r="H131" s="15">
        <f t="shared" si="2"/>
        <v>0.58333333333333393</v>
      </c>
      <c r="I131" s="16">
        <f t="shared" si="3"/>
        <v>1166.6666666666679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6.5" x14ac:dyDescent="0.2">
      <c r="A132" s="21"/>
      <c r="B132" s="18">
        <f t="shared" si="4"/>
        <v>127</v>
      </c>
      <c r="C132" s="20">
        <v>46134</v>
      </c>
      <c r="D132" s="12" t="s">
        <v>9</v>
      </c>
      <c r="E132" s="12" t="s">
        <v>89</v>
      </c>
      <c r="F132" s="14">
        <v>0.3576388888888889</v>
      </c>
      <c r="G132" s="14">
        <v>0.36805555555555558</v>
      </c>
      <c r="H132" s="15">
        <f t="shared" si="2"/>
        <v>0.25000000000000044</v>
      </c>
      <c r="I132" s="16">
        <f t="shared" si="3"/>
        <v>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6.5" x14ac:dyDescent="0.2">
      <c r="A133" s="21"/>
      <c r="B133" s="18">
        <f t="shared" si="4"/>
        <v>128</v>
      </c>
      <c r="C133" s="20">
        <v>46134</v>
      </c>
      <c r="D133" s="12" t="s">
        <v>9</v>
      </c>
      <c r="E133" s="12" t="s">
        <v>90</v>
      </c>
      <c r="F133" s="14">
        <v>0.36805555555555558</v>
      </c>
      <c r="G133" s="14">
        <v>0.45833333333333331</v>
      </c>
      <c r="H133" s="15">
        <f t="shared" si="2"/>
        <v>2.1666666666666656</v>
      </c>
      <c r="I133" s="16">
        <f t="shared" si="3"/>
        <v>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25.5" x14ac:dyDescent="0.2">
      <c r="A134" s="21"/>
      <c r="B134" s="18">
        <f t="shared" si="4"/>
        <v>129</v>
      </c>
      <c r="C134" s="20">
        <v>46134</v>
      </c>
      <c r="D134" s="12" t="s">
        <v>149</v>
      </c>
      <c r="E134" s="12" t="s">
        <v>49</v>
      </c>
      <c r="F134" s="14">
        <v>0.45833333333333331</v>
      </c>
      <c r="G134" s="14">
        <v>0.47916666666666669</v>
      </c>
      <c r="H134" s="15">
        <f t="shared" si="2"/>
        <v>0.50000000000000089</v>
      </c>
      <c r="I134" s="16">
        <f t="shared" si="3"/>
        <v>1000.0000000000018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6.5" x14ac:dyDescent="0.2">
      <c r="A135" s="21"/>
      <c r="B135" s="18">
        <f t="shared" si="4"/>
        <v>130</v>
      </c>
      <c r="C135" s="20">
        <v>46134</v>
      </c>
      <c r="D135" s="12" t="s">
        <v>9</v>
      </c>
      <c r="E135" s="12" t="s">
        <v>91</v>
      </c>
      <c r="F135" s="14">
        <v>0.5</v>
      </c>
      <c r="G135" s="14">
        <v>0.54166666666666663</v>
      </c>
      <c r="H135" s="15">
        <f t="shared" si="2"/>
        <v>0.999999999999999</v>
      </c>
      <c r="I135" s="16">
        <f t="shared" si="3"/>
        <v>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6.5" x14ac:dyDescent="0.2">
      <c r="A136" s="21"/>
      <c r="B136" s="18">
        <f t="shared" si="4"/>
        <v>131</v>
      </c>
      <c r="C136" s="20">
        <v>46134</v>
      </c>
      <c r="D136" s="12" t="s">
        <v>9</v>
      </c>
      <c r="E136" s="12" t="s">
        <v>92</v>
      </c>
      <c r="F136" s="14">
        <v>0.58333333333333337</v>
      </c>
      <c r="G136" s="14">
        <v>0.625</v>
      </c>
      <c r="H136" s="15">
        <f t="shared" si="2"/>
        <v>0.999999999999999</v>
      </c>
      <c r="I136" s="16">
        <f t="shared" si="3"/>
        <v>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25.5" x14ac:dyDescent="0.2">
      <c r="A137" s="21"/>
      <c r="B137" s="18">
        <f t="shared" si="4"/>
        <v>132</v>
      </c>
      <c r="C137" s="20">
        <v>46134</v>
      </c>
      <c r="D137" s="12" t="s">
        <v>149</v>
      </c>
      <c r="E137" s="12" t="s">
        <v>50</v>
      </c>
      <c r="F137" s="14">
        <v>0.625</v>
      </c>
      <c r="G137" s="14">
        <v>0.66666666666666663</v>
      </c>
      <c r="H137" s="15">
        <f t="shared" si="2"/>
        <v>0.999999999999999</v>
      </c>
      <c r="I137" s="16">
        <f t="shared" si="3"/>
        <v>1999.999999999998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25.5" x14ac:dyDescent="0.2">
      <c r="A138" s="21"/>
      <c r="B138" s="18">
        <f t="shared" si="4"/>
        <v>133</v>
      </c>
      <c r="C138" s="20">
        <v>46135</v>
      </c>
      <c r="D138" s="12" t="s">
        <v>149</v>
      </c>
      <c r="E138" s="12" t="s">
        <v>154</v>
      </c>
      <c r="F138" s="14">
        <v>0.33333333333333331</v>
      </c>
      <c r="G138" s="14">
        <v>0.35416666666666669</v>
      </c>
      <c r="H138" s="15">
        <f t="shared" si="2"/>
        <v>0.50000000000000089</v>
      </c>
      <c r="I138" s="16">
        <f t="shared" si="3"/>
        <v>1000.0000000000018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6.5" x14ac:dyDescent="0.2">
      <c r="A139" s="21"/>
      <c r="B139" s="18">
        <f t="shared" si="4"/>
        <v>134</v>
      </c>
      <c r="C139" s="20">
        <v>46135</v>
      </c>
      <c r="D139" s="12" t="s">
        <v>149</v>
      </c>
      <c r="E139" s="12" t="s">
        <v>155</v>
      </c>
      <c r="F139" s="14">
        <v>0.35416666666666669</v>
      </c>
      <c r="G139" s="14">
        <v>0.375</v>
      </c>
      <c r="H139" s="15">
        <f t="shared" si="2"/>
        <v>0.4999999999999995</v>
      </c>
      <c r="I139" s="16">
        <f t="shared" si="3"/>
        <v>999.99999999999898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6.5" x14ac:dyDescent="0.2">
      <c r="A140" s="21"/>
      <c r="B140" s="18">
        <f t="shared" si="4"/>
        <v>135</v>
      </c>
      <c r="C140" s="20">
        <v>46135</v>
      </c>
      <c r="D140" s="12" t="s">
        <v>9</v>
      </c>
      <c r="E140" s="12" t="s">
        <v>180</v>
      </c>
      <c r="F140" s="14">
        <v>0.375</v>
      </c>
      <c r="G140" s="14">
        <v>0.39583333333333331</v>
      </c>
      <c r="H140" s="15">
        <f t="shared" si="2"/>
        <v>0.4999999999999995</v>
      </c>
      <c r="I140" s="16">
        <f t="shared" si="3"/>
        <v>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6.5" x14ac:dyDescent="0.2">
      <c r="A141" s="21"/>
      <c r="B141" s="18">
        <f t="shared" si="4"/>
        <v>136</v>
      </c>
      <c r="C141" s="20">
        <v>46135</v>
      </c>
      <c r="D141" s="12" t="s">
        <v>149</v>
      </c>
      <c r="E141" s="12" t="s">
        <v>51</v>
      </c>
      <c r="F141" s="14">
        <v>0.39583333333333331</v>
      </c>
      <c r="G141" s="14">
        <v>0.40277777777777779</v>
      </c>
      <c r="H141" s="15">
        <f t="shared" si="2"/>
        <v>0.16666666666666741</v>
      </c>
      <c r="I141" s="16">
        <f t="shared" si="3"/>
        <v>333.33333333333479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6.5" x14ac:dyDescent="0.2">
      <c r="A142" s="21"/>
      <c r="B142" s="18">
        <f t="shared" si="4"/>
        <v>137</v>
      </c>
      <c r="C142" s="20">
        <v>46135</v>
      </c>
      <c r="D142" s="12" t="s">
        <v>149</v>
      </c>
      <c r="E142" s="12" t="s">
        <v>156</v>
      </c>
      <c r="F142" s="14">
        <v>0.40277777777777779</v>
      </c>
      <c r="G142" s="14">
        <v>0.44444444444444442</v>
      </c>
      <c r="H142" s="15">
        <f t="shared" si="2"/>
        <v>0.999999999999999</v>
      </c>
      <c r="I142" s="16">
        <f t="shared" si="3"/>
        <v>1999.999999999998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6.5" x14ac:dyDescent="0.2">
      <c r="A143" s="21"/>
      <c r="B143" s="18">
        <f t="shared" si="4"/>
        <v>138</v>
      </c>
      <c r="C143" s="20">
        <v>46135</v>
      </c>
      <c r="D143" s="12" t="s">
        <v>9</v>
      </c>
      <c r="E143" s="12" t="s">
        <v>93</v>
      </c>
      <c r="F143" s="14"/>
      <c r="G143" s="14"/>
      <c r="H143" s="15">
        <f t="shared" si="2"/>
        <v>0</v>
      </c>
      <c r="I143" s="16">
        <f t="shared" si="3"/>
        <v>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6.5" x14ac:dyDescent="0.2">
      <c r="A144" s="21"/>
      <c r="B144" s="18">
        <f t="shared" si="4"/>
        <v>139</v>
      </c>
      <c r="C144" s="20">
        <v>46135</v>
      </c>
      <c r="D144" s="12" t="s">
        <v>176</v>
      </c>
      <c r="E144" s="12" t="s">
        <v>52</v>
      </c>
      <c r="F144" s="14">
        <v>0.45833333333333331</v>
      </c>
      <c r="G144" s="14">
        <v>0.5</v>
      </c>
      <c r="H144" s="15">
        <f t="shared" si="2"/>
        <v>1.0000000000000004</v>
      </c>
      <c r="I144" s="16">
        <f t="shared" si="3"/>
        <v>2000.0000000000009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25.5" x14ac:dyDescent="0.2">
      <c r="A145" s="21"/>
      <c r="B145" s="18">
        <f t="shared" si="4"/>
        <v>140</v>
      </c>
      <c r="C145" s="20">
        <v>46135</v>
      </c>
      <c r="D145" s="12" t="s">
        <v>149</v>
      </c>
      <c r="E145" s="12" t="s">
        <v>157</v>
      </c>
      <c r="F145" s="14">
        <v>0.5</v>
      </c>
      <c r="G145" s="14">
        <v>0.5625</v>
      </c>
      <c r="H145" s="15">
        <f t="shared" si="2"/>
        <v>1.5</v>
      </c>
      <c r="I145" s="16">
        <f t="shared" si="3"/>
        <v>3000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6.5" x14ac:dyDescent="0.2">
      <c r="A146" s="21"/>
      <c r="B146" s="18">
        <f t="shared" si="4"/>
        <v>141</v>
      </c>
      <c r="C146" s="20">
        <v>46136</v>
      </c>
      <c r="D146" s="12" t="s">
        <v>9</v>
      </c>
      <c r="E146" s="12" t="s">
        <v>94</v>
      </c>
      <c r="F146" s="14">
        <v>0.33333333333333331</v>
      </c>
      <c r="G146" s="14">
        <v>0.375</v>
      </c>
      <c r="H146" s="15">
        <f t="shared" si="2"/>
        <v>1.0000000000000004</v>
      </c>
      <c r="I146" s="16">
        <f t="shared" si="3"/>
        <v>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6.5" x14ac:dyDescent="0.2">
      <c r="A147" s="21"/>
      <c r="B147" s="18">
        <f t="shared" si="4"/>
        <v>142</v>
      </c>
      <c r="C147" s="20">
        <v>46136</v>
      </c>
      <c r="D147" s="12" t="s">
        <v>149</v>
      </c>
      <c r="E147" s="12" t="s">
        <v>53</v>
      </c>
      <c r="F147" s="14">
        <v>0.375</v>
      </c>
      <c r="G147" s="14">
        <v>0.39583333333333331</v>
      </c>
      <c r="H147" s="15">
        <f t="shared" si="2"/>
        <v>0.4999999999999995</v>
      </c>
      <c r="I147" s="16">
        <f t="shared" si="3"/>
        <v>999.99999999999898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38.25" x14ac:dyDescent="0.2">
      <c r="A148" s="21"/>
      <c r="B148" s="18">
        <f t="shared" si="4"/>
        <v>143</v>
      </c>
      <c r="C148" s="20">
        <v>46136</v>
      </c>
      <c r="D148" s="12" t="s">
        <v>9</v>
      </c>
      <c r="E148" s="12" t="s">
        <v>135</v>
      </c>
      <c r="F148" s="14">
        <v>0.39583333333333331</v>
      </c>
      <c r="G148" s="14">
        <v>0.41666666666666669</v>
      </c>
      <c r="H148" s="15">
        <f t="shared" si="2"/>
        <v>0.50000000000000089</v>
      </c>
      <c r="I148" s="16">
        <f t="shared" si="3"/>
        <v>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51" x14ac:dyDescent="0.2">
      <c r="A149" s="21"/>
      <c r="B149" s="18">
        <f t="shared" si="4"/>
        <v>144</v>
      </c>
      <c r="C149" s="20">
        <v>46136</v>
      </c>
      <c r="D149" s="12" t="s">
        <v>9</v>
      </c>
      <c r="E149" s="12" t="s">
        <v>136</v>
      </c>
      <c r="F149" s="14">
        <v>0.42708333333333331</v>
      </c>
      <c r="G149" s="14">
        <v>0.47916666666666669</v>
      </c>
      <c r="H149" s="15">
        <f t="shared" si="2"/>
        <v>1.2500000000000009</v>
      </c>
      <c r="I149" s="16">
        <f t="shared" si="3"/>
        <v>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25.5" x14ac:dyDescent="0.2">
      <c r="A150" s="21"/>
      <c r="B150" s="18">
        <f t="shared" si="4"/>
        <v>145</v>
      </c>
      <c r="C150" s="20">
        <v>46136</v>
      </c>
      <c r="D150" s="12" t="s">
        <v>149</v>
      </c>
      <c r="E150" s="12" t="s">
        <v>158</v>
      </c>
      <c r="F150" s="14">
        <v>0.51388888888888884</v>
      </c>
      <c r="G150" s="14">
        <v>0.52777777777777779</v>
      </c>
      <c r="H150" s="15">
        <f t="shared" si="2"/>
        <v>0.33333333333333481</v>
      </c>
      <c r="I150" s="16">
        <f t="shared" si="3"/>
        <v>666.66666666666958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6.5" x14ac:dyDescent="0.2">
      <c r="A151" s="21"/>
      <c r="B151" s="18">
        <f t="shared" si="4"/>
        <v>146</v>
      </c>
      <c r="C151" s="20">
        <v>46136</v>
      </c>
      <c r="D151" s="12" t="s">
        <v>9</v>
      </c>
      <c r="E151" s="12" t="s">
        <v>74</v>
      </c>
      <c r="F151" s="14">
        <v>0.54166666666666663</v>
      </c>
      <c r="G151" s="14">
        <v>0.58333333333333337</v>
      </c>
      <c r="H151" s="15">
        <f t="shared" si="2"/>
        <v>1.0000000000000018</v>
      </c>
      <c r="I151" s="16">
        <f t="shared" si="3"/>
        <v>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25.5" x14ac:dyDescent="0.2">
      <c r="A152" s="21"/>
      <c r="B152" s="18">
        <f t="shared" si="4"/>
        <v>147</v>
      </c>
      <c r="C152" s="20">
        <v>46136</v>
      </c>
      <c r="D152" s="12" t="s">
        <v>9</v>
      </c>
      <c r="E152" s="12" t="s">
        <v>95</v>
      </c>
      <c r="F152" s="14">
        <v>0.58333333333333337</v>
      </c>
      <c r="G152" s="14">
        <v>0.66666666666666663</v>
      </c>
      <c r="H152" s="15">
        <f t="shared" si="2"/>
        <v>1.999999999999998</v>
      </c>
      <c r="I152" s="16">
        <f t="shared" si="3"/>
        <v>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25.5" x14ac:dyDescent="0.2">
      <c r="A153" s="21"/>
      <c r="B153" s="18">
        <f t="shared" si="4"/>
        <v>148</v>
      </c>
      <c r="C153" s="20">
        <v>46139</v>
      </c>
      <c r="D153" s="12" t="s">
        <v>149</v>
      </c>
      <c r="E153" s="12" t="s">
        <v>166</v>
      </c>
      <c r="F153" s="14">
        <v>0.33333333333333331</v>
      </c>
      <c r="G153" s="14">
        <v>0.69444444444444442</v>
      </c>
      <c r="H153" s="15">
        <f t="shared" si="2"/>
        <v>8.6666666666666661</v>
      </c>
      <c r="I153" s="16">
        <f t="shared" si="3"/>
        <v>17333.333333333332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38.25" x14ac:dyDescent="0.2">
      <c r="A154" s="21"/>
      <c r="B154" s="18">
        <f t="shared" si="4"/>
        <v>149</v>
      </c>
      <c r="C154" s="20">
        <v>46140</v>
      </c>
      <c r="D154" s="12" t="s">
        <v>9</v>
      </c>
      <c r="E154" s="12" t="s">
        <v>137</v>
      </c>
      <c r="F154" s="14">
        <v>0.3125</v>
      </c>
      <c r="G154" s="14">
        <v>0.3611111111111111</v>
      </c>
      <c r="H154" s="15">
        <f t="shared" si="2"/>
        <v>1.1666666666666665</v>
      </c>
      <c r="I154" s="16">
        <f t="shared" si="3"/>
        <v>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6.5" x14ac:dyDescent="0.2">
      <c r="A155" s="21"/>
      <c r="B155" s="18">
        <f t="shared" si="4"/>
        <v>150</v>
      </c>
      <c r="C155" s="20">
        <v>46140</v>
      </c>
      <c r="D155" s="12" t="s">
        <v>149</v>
      </c>
      <c r="E155" s="12" t="s">
        <v>163</v>
      </c>
      <c r="F155" s="14">
        <v>0.34722222222222221</v>
      </c>
      <c r="G155" s="14">
        <v>0.39583333333333331</v>
      </c>
      <c r="H155" s="15">
        <f t="shared" si="2"/>
        <v>1.1666666666666665</v>
      </c>
      <c r="I155" s="16">
        <f t="shared" si="3"/>
        <v>2333.333333333333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25.5" x14ac:dyDescent="0.2">
      <c r="A156" s="21"/>
      <c r="B156" s="18">
        <f t="shared" si="4"/>
        <v>151</v>
      </c>
      <c r="C156" s="20">
        <v>46140</v>
      </c>
      <c r="D156" s="12" t="s">
        <v>9</v>
      </c>
      <c r="E156" s="12" t="s">
        <v>138</v>
      </c>
      <c r="F156" s="14">
        <v>0.39583333333333331</v>
      </c>
      <c r="G156" s="14">
        <v>0.40277777777777779</v>
      </c>
      <c r="H156" s="15">
        <f t="shared" si="2"/>
        <v>0.16666666666666741</v>
      </c>
      <c r="I156" s="16">
        <f t="shared" si="3"/>
        <v>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6.5" x14ac:dyDescent="0.2">
      <c r="A157" s="21"/>
      <c r="B157" s="18">
        <f t="shared" si="4"/>
        <v>152</v>
      </c>
      <c r="C157" s="20">
        <v>46140</v>
      </c>
      <c r="D157" s="12" t="s">
        <v>170</v>
      </c>
      <c r="E157" s="12" t="s">
        <v>96</v>
      </c>
      <c r="F157" s="14">
        <v>0.4236111111111111</v>
      </c>
      <c r="G157" s="14">
        <v>0.4513888888888889</v>
      </c>
      <c r="H157" s="15">
        <f t="shared" si="2"/>
        <v>0.66666666666666685</v>
      </c>
      <c r="I157" s="16">
        <f t="shared" si="3"/>
        <v>1333.3333333333337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6.5" x14ac:dyDescent="0.2">
      <c r="A158" s="21"/>
      <c r="B158" s="18">
        <f t="shared" si="4"/>
        <v>153</v>
      </c>
      <c r="C158" s="20">
        <v>46140</v>
      </c>
      <c r="D158" s="12" t="s">
        <v>149</v>
      </c>
      <c r="E158" s="12" t="s">
        <v>159</v>
      </c>
      <c r="F158" s="14">
        <v>0.47222222222222221</v>
      </c>
      <c r="G158" s="14">
        <v>0.4861111111111111</v>
      </c>
      <c r="H158" s="15">
        <f t="shared" si="2"/>
        <v>0.33333333333333343</v>
      </c>
      <c r="I158" s="16">
        <f t="shared" si="3"/>
        <v>666.66666666666686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6.5" x14ac:dyDescent="0.2">
      <c r="A159" s="21"/>
      <c r="B159" s="18">
        <f t="shared" si="4"/>
        <v>154</v>
      </c>
      <c r="C159" s="20">
        <v>46140</v>
      </c>
      <c r="D159" s="12" t="s">
        <v>149</v>
      </c>
      <c r="E159" s="12" t="s">
        <v>181</v>
      </c>
      <c r="F159" s="14">
        <v>0.5</v>
      </c>
      <c r="G159" s="14">
        <v>0.51388888888888884</v>
      </c>
      <c r="H159" s="15">
        <f t="shared" si="2"/>
        <v>0.33333333333333215</v>
      </c>
      <c r="I159" s="16">
        <f t="shared" si="3"/>
        <v>666.66666666666424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6.5" x14ac:dyDescent="0.2">
      <c r="A160" s="21"/>
      <c r="B160" s="18">
        <f t="shared" si="4"/>
        <v>155</v>
      </c>
      <c r="C160" s="20">
        <v>46140</v>
      </c>
      <c r="D160" s="12" t="s">
        <v>9</v>
      </c>
      <c r="E160" s="12" t="s">
        <v>139</v>
      </c>
      <c r="F160" s="14">
        <v>0.51388888888888884</v>
      </c>
      <c r="G160" s="14">
        <v>0.52083333333333337</v>
      </c>
      <c r="H160" s="15">
        <f t="shared" si="2"/>
        <v>0.16666666666666874</v>
      </c>
      <c r="I160" s="16">
        <f t="shared" si="3"/>
        <v>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25.5" x14ac:dyDescent="0.2">
      <c r="A161" s="21"/>
      <c r="B161" s="18">
        <f t="shared" si="4"/>
        <v>156</v>
      </c>
      <c r="C161" s="20">
        <v>46140</v>
      </c>
      <c r="D161" s="12" t="s">
        <v>149</v>
      </c>
      <c r="E161" s="12" t="s">
        <v>182</v>
      </c>
      <c r="F161" s="14">
        <v>0.52777777777777779</v>
      </c>
      <c r="G161" s="14">
        <v>0.54861111111111116</v>
      </c>
      <c r="H161" s="15">
        <f t="shared" si="2"/>
        <v>0.50000000000000089</v>
      </c>
      <c r="I161" s="16">
        <f t="shared" si="3"/>
        <v>1000.0000000000018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6.5" x14ac:dyDescent="0.2">
      <c r="A162" s="21"/>
      <c r="B162" s="18">
        <f t="shared" si="4"/>
        <v>157</v>
      </c>
      <c r="C162" s="20">
        <v>46140</v>
      </c>
      <c r="D162" s="12" t="s">
        <v>149</v>
      </c>
      <c r="E162" s="12" t="s">
        <v>54</v>
      </c>
      <c r="F162" s="14">
        <v>0.58333333333333337</v>
      </c>
      <c r="G162" s="14">
        <v>0.625</v>
      </c>
      <c r="H162" s="15">
        <f t="shared" si="2"/>
        <v>0.999999999999999</v>
      </c>
      <c r="I162" s="16">
        <f t="shared" si="3"/>
        <v>1999.999999999998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6.5" x14ac:dyDescent="0.2">
      <c r="A163" s="21"/>
      <c r="B163" s="18">
        <f t="shared" si="4"/>
        <v>158</v>
      </c>
      <c r="C163" s="20">
        <v>46141</v>
      </c>
      <c r="D163" s="12" t="s">
        <v>149</v>
      </c>
      <c r="E163" s="12" t="s">
        <v>160</v>
      </c>
      <c r="F163" s="14">
        <v>0.33333333333333331</v>
      </c>
      <c r="G163" s="14">
        <v>0.3611111111111111</v>
      </c>
      <c r="H163" s="15">
        <f t="shared" si="2"/>
        <v>0.66666666666666685</v>
      </c>
      <c r="I163" s="16">
        <f t="shared" si="3"/>
        <v>1333.3333333333337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25.5" x14ac:dyDescent="0.2">
      <c r="A164" s="21"/>
      <c r="B164" s="18">
        <f t="shared" si="4"/>
        <v>159</v>
      </c>
      <c r="C164" s="20">
        <v>46141</v>
      </c>
      <c r="D164" s="12" t="s">
        <v>149</v>
      </c>
      <c r="E164" s="12" t="s">
        <v>183</v>
      </c>
      <c r="F164" s="14">
        <v>0.3611111111111111</v>
      </c>
      <c r="G164" s="14">
        <v>0.37847222222222221</v>
      </c>
      <c r="H164" s="15">
        <f t="shared" si="2"/>
        <v>0.41666666666666657</v>
      </c>
      <c r="I164" s="16">
        <f t="shared" si="3"/>
        <v>833.33333333333314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6.5" x14ac:dyDescent="0.2">
      <c r="A165" s="21"/>
      <c r="B165" s="18">
        <f t="shared" si="4"/>
        <v>160</v>
      </c>
      <c r="C165" s="20">
        <v>46141</v>
      </c>
      <c r="D165" s="12" t="s">
        <v>9</v>
      </c>
      <c r="E165" s="12" t="s">
        <v>161</v>
      </c>
      <c r="F165" s="14">
        <v>0.37847222222222221</v>
      </c>
      <c r="G165" s="14">
        <v>0.3923611111111111</v>
      </c>
      <c r="H165" s="15">
        <f t="shared" si="2"/>
        <v>0.33333333333333343</v>
      </c>
      <c r="I165" s="16">
        <f t="shared" si="3"/>
        <v>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25.5" x14ac:dyDescent="0.2">
      <c r="A166" s="21"/>
      <c r="B166" s="18">
        <f t="shared" si="4"/>
        <v>161</v>
      </c>
      <c r="C166" s="20">
        <v>46141</v>
      </c>
      <c r="D166" s="12" t="s">
        <v>149</v>
      </c>
      <c r="E166" s="12" t="s">
        <v>55</v>
      </c>
      <c r="F166" s="14">
        <v>0.3923611111111111</v>
      </c>
      <c r="G166" s="14">
        <v>0.40972222222222221</v>
      </c>
      <c r="H166" s="15">
        <f t="shared" si="2"/>
        <v>0.41666666666666657</v>
      </c>
      <c r="I166" s="16">
        <f t="shared" si="3"/>
        <v>833.33333333333314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25.5" x14ac:dyDescent="0.2">
      <c r="A167" s="21"/>
      <c r="B167" s="18">
        <f t="shared" si="4"/>
        <v>162</v>
      </c>
      <c r="C167" s="20">
        <v>46141</v>
      </c>
      <c r="D167" s="12" t="s">
        <v>9</v>
      </c>
      <c r="E167" s="12" t="s">
        <v>140</v>
      </c>
      <c r="F167" s="14">
        <v>0.40972222222222221</v>
      </c>
      <c r="G167" s="14">
        <v>0.4375</v>
      </c>
      <c r="H167" s="15">
        <f t="shared" si="2"/>
        <v>0.66666666666666685</v>
      </c>
      <c r="I167" s="16">
        <f t="shared" si="3"/>
        <v>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25.5" x14ac:dyDescent="0.2">
      <c r="A168" s="21"/>
      <c r="B168" s="18">
        <f t="shared" si="4"/>
        <v>163</v>
      </c>
      <c r="C168" s="20">
        <v>46141</v>
      </c>
      <c r="D168" s="12" t="s">
        <v>149</v>
      </c>
      <c r="E168" s="12" t="s">
        <v>164</v>
      </c>
      <c r="F168" s="14">
        <v>0.4375</v>
      </c>
      <c r="G168" s="14">
        <v>0.44444444444444442</v>
      </c>
      <c r="H168" s="15">
        <f t="shared" si="2"/>
        <v>0.16666666666666607</v>
      </c>
      <c r="I168" s="16">
        <f t="shared" si="3"/>
        <v>333.33333333333212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6.5" x14ac:dyDescent="0.2">
      <c r="A169" s="21"/>
      <c r="B169" s="18">
        <f t="shared" si="4"/>
        <v>164</v>
      </c>
      <c r="C169" s="20">
        <v>46141</v>
      </c>
      <c r="D169" s="12" t="s">
        <v>149</v>
      </c>
      <c r="E169" s="12" t="s">
        <v>184</v>
      </c>
      <c r="F169" s="14">
        <v>0.44444444444444442</v>
      </c>
      <c r="G169" s="14">
        <v>0.45833333333333331</v>
      </c>
      <c r="H169" s="15">
        <f t="shared" si="2"/>
        <v>0.33333333333333343</v>
      </c>
      <c r="I169" s="16">
        <f t="shared" si="3"/>
        <v>666.66666666666686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25.5" x14ac:dyDescent="0.2">
      <c r="A170" s="21"/>
      <c r="B170" s="18">
        <f t="shared" si="4"/>
        <v>165</v>
      </c>
      <c r="C170" s="20">
        <v>46141</v>
      </c>
      <c r="D170" s="12" t="s">
        <v>149</v>
      </c>
      <c r="E170" s="12" t="s">
        <v>56</v>
      </c>
      <c r="F170" s="14">
        <v>0.46527777777777779</v>
      </c>
      <c r="G170" s="14">
        <v>0.4861111111111111</v>
      </c>
      <c r="H170" s="15">
        <f t="shared" si="2"/>
        <v>0.4999999999999995</v>
      </c>
      <c r="I170" s="16">
        <f t="shared" si="3"/>
        <v>999.99999999999898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25.5" x14ac:dyDescent="0.2">
      <c r="A171" s="21"/>
      <c r="B171" s="18">
        <f t="shared" si="4"/>
        <v>166</v>
      </c>
      <c r="C171" s="20">
        <v>46141</v>
      </c>
      <c r="D171" s="12" t="s">
        <v>149</v>
      </c>
      <c r="E171" s="12" t="s">
        <v>57</v>
      </c>
      <c r="F171" s="14">
        <v>0.5</v>
      </c>
      <c r="G171" s="14">
        <v>0.5625</v>
      </c>
      <c r="H171" s="15">
        <f t="shared" si="2"/>
        <v>1.5</v>
      </c>
      <c r="I171" s="16">
        <f t="shared" si="3"/>
        <v>3000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25.5" x14ac:dyDescent="0.2">
      <c r="A172" s="21"/>
      <c r="B172" s="18">
        <f t="shared" si="4"/>
        <v>167</v>
      </c>
      <c r="C172" s="20">
        <v>46141</v>
      </c>
      <c r="D172" s="12" t="s">
        <v>149</v>
      </c>
      <c r="E172" s="12" t="s">
        <v>58</v>
      </c>
      <c r="F172" s="14">
        <v>0.5625</v>
      </c>
      <c r="G172" s="14">
        <v>0.56944444444444442</v>
      </c>
      <c r="H172" s="15">
        <f t="shared" si="2"/>
        <v>0.16666666666666607</v>
      </c>
      <c r="I172" s="16">
        <f t="shared" si="3"/>
        <v>333.33333333333212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6.5" x14ac:dyDescent="0.2">
      <c r="A173" s="21"/>
      <c r="B173" s="18">
        <f t="shared" si="4"/>
        <v>168</v>
      </c>
      <c r="C173" s="20">
        <v>46141</v>
      </c>
      <c r="D173" s="12" t="s">
        <v>9</v>
      </c>
      <c r="E173" s="12" t="s">
        <v>141</v>
      </c>
      <c r="F173" s="14">
        <v>0.58333333333333337</v>
      </c>
      <c r="G173" s="14">
        <v>0.59027777777777779</v>
      </c>
      <c r="H173" s="15">
        <f t="shared" si="2"/>
        <v>0.16666666666666607</v>
      </c>
      <c r="I173" s="16">
        <f t="shared" si="3"/>
        <v>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6.5" x14ac:dyDescent="0.2">
      <c r="A174" s="21"/>
      <c r="B174" s="18">
        <f t="shared" si="4"/>
        <v>169</v>
      </c>
      <c r="C174" s="20">
        <v>46141</v>
      </c>
      <c r="D174" s="12" t="s">
        <v>149</v>
      </c>
      <c r="E174" s="12" t="s">
        <v>185</v>
      </c>
      <c r="F174" s="14">
        <v>0.59722222222222221</v>
      </c>
      <c r="G174" s="14">
        <v>0.64930555555555558</v>
      </c>
      <c r="H174" s="15">
        <f t="shared" si="2"/>
        <v>1.2500000000000009</v>
      </c>
      <c r="I174" s="16">
        <f t="shared" si="3"/>
        <v>2500.0000000000018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6.5" x14ac:dyDescent="0.2">
      <c r="A175" s="21"/>
      <c r="B175" s="18">
        <f t="shared" si="4"/>
        <v>170</v>
      </c>
      <c r="C175" s="20">
        <v>46142</v>
      </c>
      <c r="D175" s="12" t="s">
        <v>9</v>
      </c>
      <c r="E175" s="12" t="s">
        <v>97</v>
      </c>
      <c r="F175" s="14">
        <v>0.33333333333333331</v>
      </c>
      <c r="G175" s="14">
        <v>0.375</v>
      </c>
      <c r="H175" s="15">
        <f t="shared" si="2"/>
        <v>1.0000000000000004</v>
      </c>
      <c r="I175" s="16">
        <f t="shared" si="3"/>
        <v>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6.5" x14ac:dyDescent="0.2">
      <c r="A176" s="21"/>
      <c r="B176" s="18">
        <f t="shared" si="4"/>
        <v>171</v>
      </c>
      <c r="C176" s="20">
        <v>46142</v>
      </c>
      <c r="D176" s="12" t="s">
        <v>149</v>
      </c>
      <c r="E176" s="12" t="s">
        <v>59</v>
      </c>
      <c r="F176" s="14">
        <v>0.38541666666666669</v>
      </c>
      <c r="G176" s="14">
        <v>0.40277777777777779</v>
      </c>
      <c r="H176" s="15">
        <f t="shared" si="2"/>
        <v>0.41666666666666657</v>
      </c>
      <c r="I176" s="16">
        <f t="shared" si="3"/>
        <v>833.33333333333314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6.5" x14ac:dyDescent="0.2">
      <c r="A177" s="21"/>
      <c r="B177" s="18">
        <f>B173+1</f>
        <v>169</v>
      </c>
      <c r="C177" s="20">
        <v>46142</v>
      </c>
      <c r="D177" s="12" t="s">
        <v>9</v>
      </c>
      <c r="E177" s="12" t="s">
        <v>98</v>
      </c>
      <c r="F177" s="14">
        <v>0.41666666666666669</v>
      </c>
      <c r="G177" s="14">
        <v>0.4375</v>
      </c>
      <c r="H177" s="15">
        <f t="shared" si="2"/>
        <v>0.4999999999999995</v>
      </c>
      <c r="I177" s="16">
        <f t="shared" si="3"/>
        <v>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6.5" x14ac:dyDescent="0.2">
      <c r="A178" s="21"/>
      <c r="B178" s="18">
        <f>B177+1</f>
        <v>170</v>
      </c>
      <c r="C178" s="20">
        <v>46142</v>
      </c>
      <c r="D178" s="12" t="s">
        <v>149</v>
      </c>
      <c r="E178" s="12" t="s">
        <v>60</v>
      </c>
      <c r="F178" s="14">
        <v>0.45833333333333331</v>
      </c>
      <c r="G178" s="14">
        <v>0.49305555555555558</v>
      </c>
      <c r="H178" s="15">
        <f t="shared" si="2"/>
        <v>0.83333333333333437</v>
      </c>
      <c r="I178" s="16">
        <f t="shared" si="3"/>
        <v>1666.6666666666688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6.5" x14ac:dyDescent="0.2">
      <c r="A179" s="21"/>
      <c r="B179" s="22" t="s">
        <v>61</v>
      </c>
      <c r="C179" s="23"/>
      <c r="D179" s="23"/>
      <c r="E179" s="23"/>
      <c r="F179" s="23"/>
      <c r="G179" s="24"/>
      <c r="H179" s="25">
        <f t="shared" ref="H179:I179" si="5">SUM(H6:H178)</f>
        <v>135.33333333333331</v>
      </c>
      <c r="I179" s="25">
        <f t="shared" si="5"/>
        <v>147500.00000000003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x14ac:dyDescent="0.2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x14ac:dyDescent="0.2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x14ac:dyDescent="0.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x14ac:dyDescent="0.2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x14ac:dyDescent="0.2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x14ac:dyDescent="0.2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x14ac:dyDescent="0.2">
      <c r="A186" s="1"/>
      <c r="B186" s="1"/>
      <c r="C186" s="2"/>
      <c r="D186" s="26" t="s">
        <v>62</v>
      </c>
      <c r="E186" s="26" t="s">
        <v>63</v>
      </c>
      <c r="F186" s="26" t="s">
        <v>8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x14ac:dyDescent="0.2">
      <c r="A187" s="1"/>
      <c r="B187" s="1"/>
      <c r="C187" s="2"/>
      <c r="D187" s="12" t="s">
        <v>9</v>
      </c>
      <c r="E187" s="27">
        <f t="shared" ref="E187:E193" ca="1" si="6">SUMIF($D$6:$I$179,$D187,$H$6:$H$178)</f>
        <v>61.583333333333329</v>
      </c>
      <c r="F187" s="17">
        <f t="shared" ref="F187:F193" ca="1" si="7">SUMIF($D$6:$I$179,D187,$I$6:$I$178)</f>
        <v>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x14ac:dyDescent="0.2">
      <c r="A188" s="1"/>
      <c r="B188" s="1"/>
      <c r="C188" s="2"/>
      <c r="D188" s="12" t="s">
        <v>149</v>
      </c>
      <c r="E188" s="27">
        <f t="shared" ca="1" si="6"/>
        <v>55.833333333333314</v>
      </c>
      <c r="F188" s="17">
        <f t="shared" ca="1" si="7"/>
        <v>111666.66666666666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x14ac:dyDescent="0.2">
      <c r="A189" s="1"/>
      <c r="B189" s="1"/>
      <c r="C189" s="2"/>
      <c r="D189" s="12" t="s">
        <v>176</v>
      </c>
      <c r="E189" s="27">
        <f t="shared" ca="1" si="6"/>
        <v>4.5</v>
      </c>
      <c r="F189" s="17">
        <f t="shared" ca="1" si="7"/>
        <v>9000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x14ac:dyDescent="0.2">
      <c r="A190" s="1"/>
      <c r="B190" s="1"/>
      <c r="C190" s="2"/>
      <c r="D190" s="12" t="s">
        <v>186</v>
      </c>
      <c r="E190" s="27">
        <f t="shared" ca="1" si="6"/>
        <v>1.7499999999999991</v>
      </c>
      <c r="F190" s="17">
        <f t="shared" ca="1" si="7"/>
        <v>3499.9999999999982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x14ac:dyDescent="0.2">
      <c r="A191" s="1"/>
      <c r="B191" s="1"/>
      <c r="C191" s="2"/>
      <c r="D191" s="12" t="s">
        <v>169</v>
      </c>
      <c r="E191" s="27">
        <f t="shared" ca="1" si="6"/>
        <v>5.9999999999999982</v>
      </c>
      <c r="F191" s="17">
        <f t="shared" ca="1" si="7"/>
        <v>11999.999999999996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x14ac:dyDescent="0.2">
      <c r="A192" s="1"/>
      <c r="B192" s="1"/>
      <c r="C192" s="2"/>
      <c r="D192" s="12" t="s">
        <v>168</v>
      </c>
      <c r="E192" s="27">
        <f t="shared" ca="1" si="6"/>
        <v>3.9999999999999991</v>
      </c>
      <c r="F192" s="17">
        <f t="shared" ca="1" si="7"/>
        <v>7999.9999999999982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x14ac:dyDescent="0.2">
      <c r="A193" s="1"/>
      <c r="B193" s="1"/>
      <c r="C193" s="2"/>
      <c r="D193" s="12" t="s">
        <v>170</v>
      </c>
      <c r="E193" s="27">
        <f t="shared" ca="1" si="6"/>
        <v>1.6666666666666687</v>
      </c>
      <c r="F193" s="17">
        <f t="shared" ca="1" si="7"/>
        <v>3333.3333333333376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x14ac:dyDescent="0.2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x14ac:dyDescent="0.2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x14ac:dyDescent="0.2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x14ac:dyDescent="0.2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x14ac:dyDescent="0.2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x14ac:dyDescent="0.2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x14ac:dyDescent="0.2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x14ac:dyDescent="0.2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x14ac:dyDescent="0.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x14ac:dyDescent="0.2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x14ac:dyDescent="0.2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x14ac:dyDescent="0.2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x14ac:dyDescent="0.2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x14ac:dyDescent="0.2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x14ac:dyDescent="0.2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x14ac:dyDescent="0.2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x14ac:dyDescent="0.2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x14ac:dyDescent="0.2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x14ac:dyDescent="0.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x14ac:dyDescent="0.2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x14ac:dyDescent="0.2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x14ac:dyDescent="0.2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x14ac:dyDescent="0.2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x14ac:dyDescent="0.2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x14ac:dyDescent="0.2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x14ac:dyDescent="0.2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x14ac:dyDescent="0.2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x14ac:dyDescent="0.2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x14ac:dyDescent="0.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x14ac:dyDescent="0.2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x14ac:dyDescent="0.2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x14ac:dyDescent="0.2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x14ac:dyDescent="0.2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x14ac:dyDescent="0.2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x14ac:dyDescent="0.2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x14ac:dyDescent="0.2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x14ac:dyDescent="0.2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x14ac:dyDescent="0.2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x14ac:dyDescent="0.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x14ac:dyDescent="0.2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x14ac:dyDescent="0.2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x14ac:dyDescent="0.2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x14ac:dyDescent="0.2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x14ac:dyDescent="0.2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x14ac:dyDescent="0.2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x14ac:dyDescent="0.2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x14ac:dyDescent="0.2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x14ac:dyDescent="0.2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x14ac:dyDescent="0.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x14ac:dyDescent="0.2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x14ac:dyDescent="0.2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x14ac:dyDescent="0.2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x14ac:dyDescent="0.2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x14ac:dyDescent="0.2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x14ac:dyDescent="0.2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x14ac:dyDescent="0.2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x14ac:dyDescent="0.2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x14ac:dyDescent="0.2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x14ac:dyDescent="0.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x14ac:dyDescent="0.2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x14ac:dyDescent="0.2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x14ac:dyDescent="0.2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x14ac:dyDescent="0.2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x14ac:dyDescent="0.2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x14ac:dyDescent="0.2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x14ac:dyDescent="0.2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x14ac:dyDescent="0.2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x14ac:dyDescent="0.2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x14ac:dyDescent="0.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x14ac:dyDescent="0.2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x14ac:dyDescent="0.2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x14ac:dyDescent="0.2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x14ac:dyDescent="0.2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x14ac:dyDescent="0.2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x14ac:dyDescent="0.2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x14ac:dyDescent="0.2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x14ac:dyDescent="0.2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x14ac:dyDescent="0.2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x14ac:dyDescent="0.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x14ac:dyDescent="0.2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x14ac:dyDescent="0.2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x14ac:dyDescent="0.2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x14ac:dyDescent="0.2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x14ac:dyDescent="0.2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x14ac:dyDescent="0.2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x14ac:dyDescent="0.2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x14ac:dyDescent="0.2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x14ac:dyDescent="0.2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x14ac:dyDescent="0.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x14ac:dyDescent="0.2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x14ac:dyDescent="0.2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x14ac:dyDescent="0.2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x14ac:dyDescent="0.2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x14ac:dyDescent="0.2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x14ac:dyDescent="0.2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x14ac:dyDescent="0.2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x14ac:dyDescent="0.2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x14ac:dyDescent="0.2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x14ac:dyDescent="0.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x14ac:dyDescent="0.2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x14ac:dyDescent="0.2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x14ac:dyDescent="0.2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x14ac:dyDescent="0.2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x14ac:dyDescent="0.2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x14ac:dyDescent="0.2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x14ac:dyDescent="0.2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x14ac:dyDescent="0.2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x14ac:dyDescent="0.2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x14ac:dyDescent="0.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x14ac:dyDescent="0.2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x14ac:dyDescent="0.2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x14ac:dyDescent="0.2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x14ac:dyDescent="0.2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x14ac:dyDescent="0.2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x14ac:dyDescent="0.2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x14ac:dyDescent="0.2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x14ac:dyDescent="0.2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x14ac:dyDescent="0.2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x14ac:dyDescent="0.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x14ac:dyDescent="0.2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x14ac:dyDescent="0.2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x14ac:dyDescent="0.2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x14ac:dyDescent="0.2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x14ac:dyDescent="0.2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x14ac:dyDescent="0.2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x14ac:dyDescent="0.2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x14ac:dyDescent="0.2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x14ac:dyDescent="0.2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x14ac:dyDescent="0.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x14ac:dyDescent="0.2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x14ac:dyDescent="0.2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x14ac:dyDescent="0.2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x14ac:dyDescent="0.2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x14ac:dyDescent="0.2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x14ac:dyDescent="0.2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x14ac:dyDescent="0.2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x14ac:dyDescent="0.2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x14ac:dyDescent="0.2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x14ac:dyDescent="0.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x14ac:dyDescent="0.2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x14ac:dyDescent="0.2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x14ac:dyDescent="0.2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x14ac:dyDescent="0.2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x14ac:dyDescent="0.2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x14ac:dyDescent="0.2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x14ac:dyDescent="0.2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x14ac:dyDescent="0.2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x14ac:dyDescent="0.2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x14ac:dyDescent="0.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x14ac:dyDescent="0.2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x14ac:dyDescent="0.2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x14ac:dyDescent="0.2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x14ac:dyDescent="0.2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x14ac:dyDescent="0.2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x14ac:dyDescent="0.2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x14ac:dyDescent="0.2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x14ac:dyDescent="0.2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x14ac:dyDescent="0.2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x14ac:dyDescent="0.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x14ac:dyDescent="0.2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x14ac:dyDescent="0.2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x14ac:dyDescent="0.2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x14ac:dyDescent="0.2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x14ac:dyDescent="0.2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x14ac:dyDescent="0.2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x14ac:dyDescent="0.2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x14ac:dyDescent="0.2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x14ac:dyDescent="0.2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x14ac:dyDescent="0.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x14ac:dyDescent="0.2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x14ac:dyDescent="0.2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x14ac:dyDescent="0.2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x14ac:dyDescent="0.2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x14ac:dyDescent="0.2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x14ac:dyDescent="0.2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x14ac:dyDescent="0.2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x14ac:dyDescent="0.2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x14ac:dyDescent="0.2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x14ac:dyDescent="0.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x14ac:dyDescent="0.2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x14ac:dyDescent="0.2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x14ac:dyDescent="0.2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x14ac:dyDescent="0.2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x14ac:dyDescent="0.2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x14ac:dyDescent="0.2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x14ac:dyDescent="0.2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x14ac:dyDescent="0.2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x14ac:dyDescent="0.2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x14ac:dyDescent="0.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x14ac:dyDescent="0.2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x14ac:dyDescent="0.2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x14ac:dyDescent="0.2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x14ac:dyDescent="0.2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x14ac:dyDescent="0.2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x14ac:dyDescent="0.2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x14ac:dyDescent="0.2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x14ac:dyDescent="0.2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x14ac:dyDescent="0.2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x14ac:dyDescent="0.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x14ac:dyDescent="0.2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x14ac:dyDescent="0.2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x14ac:dyDescent="0.2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x14ac:dyDescent="0.2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x14ac:dyDescent="0.2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x14ac:dyDescent="0.2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x14ac:dyDescent="0.2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x14ac:dyDescent="0.2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x14ac:dyDescent="0.2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x14ac:dyDescent="0.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x14ac:dyDescent="0.2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x14ac:dyDescent="0.2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x14ac:dyDescent="0.2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x14ac:dyDescent="0.2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x14ac:dyDescent="0.2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x14ac:dyDescent="0.2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x14ac:dyDescent="0.2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x14ac:dyDescent="0.2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x14ac:dyDescent="0.2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x14ac:dyDescent="0.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x14ac:dyDescent="0.2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x14ac:dyDescent="0.2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x14ac:dyDescent="0.2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x14ac:dyDescent="0.2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x14ac:dyDescent="0.2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x14ac:dyDescent="0.2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x14ac:dyDescent="0.2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x14ac:dyDescent="0.2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x14ac:dyDescent="0.2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x14ac:dyDescent="0.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x14ac:dyDescent="0.2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x14ac:dyDescent="0.2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x14ac:dyDescent="0.2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x14ac:dyDescent="0.2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x14ac:dyDescent="0.2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x14ac:dyDescent="0.2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x14ac:dyDescent="0.2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x14ac:dyDescent="0.2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x14ac:dyDescent="0.2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x14ac:dyDescent="0.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x14ac:dyDescent="0.2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x14ac:dyDescent="0.2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x14ac:dyDescent="0.2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x14ac:dyDescent="0.2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x14ac:dyDescent="0.2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x14ac:dyDescent="0.2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x14ac:dyDescent="0.2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x14ac:dyDescent="0.2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x14ac:dyDescent="0.2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x14ac:dyDescent="0.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x14ac:dyDescent="0.2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x14ac:dyDescent="0.2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x14ac:dyDescent="0.2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x14ac:dyDescent="0.2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x14ac:dyDescent="0.2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x14ac:dyDescent="0.2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x14ac:dyDescent="0.2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x14ac:dyDescent="0.2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x14ac:dyDescent="0.2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x14ac:dyDescent="0.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x14ac:dyDescent="0.2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x14ac:dyDescent="0.2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x14ac:dyDescent="0.2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x14ac:dyDescent="0.2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x14ac:dyDescent="0.2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x14ac:dyDescent="0.2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x14ac:dyDescent="0.2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x14ac:dyDescent="0.2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x14ac:dyDescent="0.2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x14ac:dyDescent="0.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x14ac:dyDescent="0.2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x14ac:dyDescent="0.2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x14ac:dyDescent="0.2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x14ac:dyDescent="0.2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x14ac:dyDescent="0.2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x14ac:dyDescent="0.2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x14ac:dyDescent="0.2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x14ac:dyDescent="0.2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x14ac:dyDescent="0.2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x14ac:dyDescent="0.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x14ac:dyDescent="0.2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x14ac:dyDescent="0.2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x14ac:dyDescent="0.2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x14ac:dyDescent="0.2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x14ac:dyDescent="0.2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x14ac:dyDescent="0.2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x14ac:dyDescent="0.2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x14ac:dyDescent="0.2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x14ac:dyDescent="0.2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x14ac:dyDescent="0.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x14ac:dyDescent="0.2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x14ac:dyDescent="0.2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x14ac:dyDescent="0.2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x14ac:dyDescent="0.2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x14ac:dyDescent="0.2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x14ac:dyDescent="0.2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x14ac:dyDescent="0.2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x14ac:dyDescent="0.2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x14ac:dyDescent="0.2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x14ac:dyDescent="0.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x14ac:dyDescent="0.2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x14ac:dyDescent="0.2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x14ac:dyDescent="0.2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x14ac:dyDescent="0.2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x14ac:dyDescent="0.2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x14ac:dyDescent="0.2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x14ac:dyDescent="0.2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x14ac:dyDescent="0.2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x14ac:dyDescent="0.2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x14ac:dyDescent="0.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x14ac:dyDescent="0.2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x14ac:dyDescent="0.2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x14ac:dyDescent="0.2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x14ac:dyDescent="0.2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x14ac:dyDescent="0.2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x14ac:dyDescent="0.2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x14ac:dyDescent="0.2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x14ac:dyDescent="0.2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x14ac:dyDescent="0.2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x14ac:dyDescent="0.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x14ac:dyDescent="0.2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x14ac:dyDescent="0.2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x14ac:dyDescent="0.2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x14ac:dyDescent="0.2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x14ac:dyDescent="0.2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x14ac:dyDescent="0.2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x14ac:dyDescent="0.2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x14ac:dyDescent="0.2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x14ac:dyDescent="0.2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x14ac:dyDescent="0.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x14ac:dyDescent="0.2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x14ac:dyDescent="0.2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x14ac:dyDescent="0.2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x14ac:dyDescent="0.2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x14ac:dyDescent="0.2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x14ac:dyDescent="0.2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x14ac:dyDescent="0.2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x14ac:dyDescent="0.2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x14ac:dyDescent="0.2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x14ac:dyDescent="0.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x14ac:dyDescent="0.2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x14ac:dyDescent="0.2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x14ac:dyDescent="0.2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x14ac:dyDescent="0.2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x14ac:dyDescent="0.2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x14ac:dyDescent="0.2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x14ac:dyDescent="0.2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x14ac:dyDescent="0.2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x14ac:dyDescent="0.2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x14ac:dyDescent="0.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x14ac:dyDescent="0.2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x14ac:dyDescent="0.2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x14ac:dyDescent="0.2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x14ac:dyDescent="0.2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x14ac:dyDescent="0.2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x14ac:dyDescent="0.2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x14ac:dyDescent="0.2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x14ac:dyDescent="0.2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x14ac:dyDescent="0.2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x14ac:dyDescent="0.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x14ac:dyDescent="0.2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x14ac:dyDescent="0.2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x14ac:dyDescent="0.2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x14ac:dyDescent="0.2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x14ac:dyDescent="0.2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x14ac:dyDescent="0.2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x14ac:dyDescent="0.2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x14ac:dyDescent="0.2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x14ac:dyDescent="0.2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x14ac:dyDescent="0.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x14ac:dyDescent="0.2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x14ac:dyDescent="0.2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x14ac:dyDescent="0.2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x14ac:dyDescent="0.2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x14ac:dyDescent="0.2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x14ac:dyDescent="0.2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x14ac:dyDescent="0.2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x14ac:dyDescent="0.2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x14ac:dyDescent="0.2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x14ac:dyDescent="0.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x14ac:dyDescent="0.2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x14ac:dyDescent="0.2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x14ac:dyDescent="0.2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x14ac:dyDescent="0.2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x14ac:dyDescent="0.2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x14ac:dyDescent="0.2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x14ac:dyDescent="0.2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x14ac:dyDescent="0.2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x14ac:dyDescent="0.2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x14ac:dyDescent="0.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x14ac:dyDescent="0.2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x14ac:dyDescent="0.2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x14ac:dyDescent="0.2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x14ac:dyDescent="0.2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x14ac:dyDescent="0.2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x14ac:dyDescent="0.2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x14ac:dyDescent="0.2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x14ac:dyDescent="0.2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x14ac:dyDescent="0.2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x14ac:dyDescent="0.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x14ac:dyDescent="0.2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x14ac:dyDescent="0.2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x14ac:dyDescent="0.2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x14ac:dyDescent="0.2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x14ac:dyDescent="0.2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x14ac:dyDescent="0.2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x14ac:dyDescent="0.2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x14ac:dyDescent="0.2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x14ac:dyDescent="0.2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x14ac:dyDescent="0.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x14ac:dyDescent="0.2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x14ac:dyDescent="0.2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x14ac:dyDescent="0.2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x14ac:dyDescent="0.2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x14ac:dyDescent="0.2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x14ac:dyDescent="0.2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x14ac:dyDescent="0.2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x14ac:dyDescent="0.2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x14ac:dyDescent="0.2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x14ac:dyDescent="0.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x14ac:dyDescent="0.2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x14ac:dyDescent="0.2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x14ac:dyDescent="0.2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x14ac:dyDescent="0.2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x14ac:dyDescent="0.2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x14ac:dyDescent="0.2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x14ac:dyDescent="0.2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x14ac:dyDescent="0.2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x14ac:dyDescent="0.2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x14ac:dyDescent="0.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x14ac:dyDescent="0.2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x14ac:dyDescent="0.2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x14ac:dyDescent="0.2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x14ac:dyDescent="0.2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x14ac:dyDescent="0.2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x14ac:dyDescent="0.2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x14ac:dyDescent="0.2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x14ac:dyDescent="0.2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x14ac:dyDescent="0.2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x14ac:dyDescent="0.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x14ac:dyDescent="0.2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x14ac:dyDescent="0.2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x14ac:dyDescent="0.2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x14ac:dyDescent="0.2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x14ac:dyDescent="0.2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x14ac:dyDescent="0.2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x14ac:dyDescent="0.2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x14ac:dyDescent="0.2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x14ac:dyDescent="0.2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x14ac:dyDescent="0.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x14ac:dyDescent="0.2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x14ac:dyDescent="0.2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x14ac:dyDescent="0.2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x14ac:dyDescent="0.2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x14ac:dyDescent="0.2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x14ac:dyDescent="0.2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x14ac:dyDescent="0.2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x14ac:dyDescent="0.2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x14ac:dyDescent="0.2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x14ac:dyDescent="0.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x14ac:dyDescent="0.2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x14ac:dyDescent="0.2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x14ac:dyDescent="0.2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x14ac:dyDescent="0.2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x14ac:dyDescent="0.2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x14ac:dyDescent="0.2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x14ac:dyDescent="0.2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x14ac:dyDescent="0.2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x14ac:dyDescent="0.2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x14ac:dyDescent="0.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x14ac:dyDescent="0.2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x14ac:dyDescent="0.2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x14ac:dyDescent="0.2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x14ac:dyDescent="0.2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x14ac:dyDescent="0.2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x14ac:dyDescent="0.2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x14ac:dyDescent="0.2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x14ac:dyDescent="0.2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x14ac:dyDescent="0.2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x14ac:dyDescent="0.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x14ac:dyDescent="0.2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x14ac:dyDescent="0.2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x14ac:dyDescent="0.2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x14ac:dyDescent="0.2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x14ac:dyDescent="0.2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x14ac:dyDescent="0.2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x14ac:dyDescent="0.2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x14ac:dyDescent="0.2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x14ac:dyDescent="0.2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x14ac:dyDescent="0.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x14ac:dyDescent="0.2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x14ac:dyDescent="0.2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x14ac:dyDescent="0.2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x14ac:dyDescent="0.2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x14ac:dyDescent="0.2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x14ac:dyDescent="0.2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x14ac:dyDescent="0.2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x14ac:dyDescent="0.2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x14ac:dyDescent="0.2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x14ac:dyDescent="0.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x14ac:dyDescent="0.2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x14ac:dyDescent="0.2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x14ac:dyDescent="0.2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x14ac:dyDescent="0.2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x14ac:dyDescent="0.2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x14ac:dyDescent="0.2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x14ac:dyDescent="0.2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x14ac:dyDescent="0.2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x14ac:dyDescent="0.2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x14ac:dyDescent="0.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x14ac:dyDescent="0.2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x14ac:dyDescent="0.2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x14ac:dyDescent="0.2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x14ac:dyDescent="0.2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x14ac:dyDescent="0.2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x14ac:dyDescent="0.2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x14ac:dyDescent="0.2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x14ac:dyDescent="0.2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x14ac:dyDescent="0.2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x14ac:dyDescent="0.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x14ac:dyDescent="0.2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x14ac:dyDescent="0.2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x14ac:dyDescent="0.2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x14ac:dyDescent="0.2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x14ac:dyDescent="0.2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x14ac:dyDescent="0.2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x14ac:dyDescent="0.2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x14ac:dyDescent="0.2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x14ac:dyDescent="0.2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x14ac:dyDescent="0.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x14ac:dyDescent="0.2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x14ac:dyDescent="0.2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x14ac:dyDescent="0.2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x14ac:dyDescent="0.2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x14ac:dyDescent="0.2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x14ac:dyDescent="0.2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x14ac:dyDescent="0.2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x14ac:dyDescent="0.2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x14ac:dyDescent="0.2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x14ac:dyDescent="0.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x14ac:dyDescent="0.2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x14ac:dyDescent="0.2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x14ac:dyDescent="0.2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x14ac:dyDescent="0.2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x14ac:dyDescent="0.2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x14ac:dyDescent="0.2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x14ac:dyDescent="0.2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x14ac:dyDescent="0.2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x14ac:dyDescent="0.2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x14ac:dyDescent="0.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x14ac:dyDescent="0.2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x14ac:dyDescent="0.2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x14ac:dyDescent="0.2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x14ac:dyDescent="0.2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x14ac:dyDescent="0.2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x14ac:dyDescent="0.2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x14ac:dyDescent="0.2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x14ac:dyDescent="0.2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x14ac:dyDescent="0.2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x14ac:dyDescent="0.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x14ac:dyDescent="0.2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x14ac:dyDescent="0.2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x14ac:dyDescent="0.2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x14ac:dyDescent="0.2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x14ac:dyDescent="0.2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x14ac:dyDescent="0.2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x14ac:dyDescent="0.2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x14ac:dyDescent="0.2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x14ac:dyDescent="0.2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x14ac:dyDescent="0.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x14ac:dyDescent="0.2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x14ac:dyDescent="0.2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x14ac:dyDescent="0.2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x14ac:dyDescent="0.2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x14ac:dyDescent="0.2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x14ac:dyDescent="0.2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x14ac:dyDescent="0.2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x14ac:dyDescent="0.2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x14ac:dyDescent="0.2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x14ac:dyDescent="0.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x14ac:dyDescent="0.2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x14ac:dyDescent="0.2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x14ac:dyDescent="0.2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x14ac:dyDescent="0.2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x14ac:dyDescent="0.2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x14ac:dyDescent="0.2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x14ac:dyDescent="0.2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x14ac:dyDescent="0.2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x14ac:dyDescent="0.2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x14ac:dyDescent="0.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x14ac:dyDescent="0.2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x14ac:dyDescent="0.2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x14ac:dyDescent="0.2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x14ac:dyDescent="0.2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x14ac:dyDescent="0.2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x14ac:dyDescent="0.2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x14ac:dyDescent="0.2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x14ac:dyDescent="0.2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x14ac:dyDescent="0.2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x14ac:dyDescent="0.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x14ac:dyDescent="0.2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x14ac:dyDescent="0.2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x14ac:dyDescent="0.2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x14ac:dyDescent="0.2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x14ac:dyDescent="0.2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x14ac:dyDescent="0.2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x14ac:dyDescent="0.2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x14ac:dyDescent="0.2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x14ac:dyDescent="0.2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x14ac:dyDescent="0.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x14ac:dyDescent="0.2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x14ac:dyDescent="0.2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x14ac:dyDescent="0.2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x14ac:dyDescent="0.2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x14ac:dyDescent="0.2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x14ac:dyDescent="0.2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x14ac:dyDescent="0.2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x14ac:dyDescent="0.2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x14ac:dyDescent="0.2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x14ac:dyDescent="0.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x14ac:dyDescent="0.2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x14ac:dyDescent="0.2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x14ac:dyDescent="0.2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x14ac:dyDescent="0.2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x14ac:dyDescent="0.2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x14ac:dyDescent="0.2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x14ac:dyDescent="0.2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x14ac:dyDescent="0.2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x14ac:dyDescent="0.2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x14ac:dyDescent="0.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x14ac:dyDescent="0.2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x14ac:dyDescent="0.2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x14ac:dyDescent="0.2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x14ac:dyDescent="0.2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x14ac:dyDescent="0.2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x14ac:dyDescent="0.2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x14ac:dyDescent="0.2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x14ac:dyDescent="0.2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x14ac:dyDescent="0.2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x14ac:dyDescent="0.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x14ac:dyDescent="0.2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x14ac:dyDescent="0.2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x14ac:dyDescent="0.2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x14ac:dyDescent="0.2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x14ac:dyDescent="0.2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x14ac:dyDescent="0.2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x14ac:dyDescent="0.2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x14ac:dyDescent="0.2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x14ac:dyDescent="0.2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x14ac:dyDescent="0.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x14ac:dyDescent="0.2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x14ac:dyDescent="0.2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x14ac:dyDescent="0.2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x14ac:dyDescent="0.2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x14ac:dyDescent="0.2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x14ac:dyDescent="0.2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x14ac:dyDescent="0.2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x14ac:dyDescent="0.2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x14ac:dyDescent="0.2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x14ac:dyDescent="0.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x14ac:dyDescent="0.2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x14ac:dyDescent="0.2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x14ac:dyDescent="0.2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x14ac:dyDescent="0.2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x14ac:dyDescent="0.2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x14ac:dyDescent="0.2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x14ac:dyDescent="0.2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x14ac:dyDescent="0.2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x14ac:dyDescent="0.2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x14ac:dyDescent="0.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x14ac:dyDescent="0.2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x14ac:dyDescent="0.2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x14ac:dyDescent="0.2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x14ac:dyDescent="0.2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x14ac:dyDescent="0.2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x14ac:dyDescent="0.2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x14ac:dyDescent="0.2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x14ac:dyDescent="0.2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x14ac:dyDescent="0.2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x14ac:dyDescent="0.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x14ac:dyDescent="0.2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x14ac:dyDescent="0.2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x14ac:dyDescent="0.2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x14ac:dyDescent="0.2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x14ac:dyDescent="0.2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x14ac:dyDescent="0.2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x14ac:dyDescent="0.2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x14ac:dyDescent="0.2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x14ac:dyDescent="0.2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x14ac:dyDescent="0.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x14ac:dyDescent="0.2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x14ac:dyDescent="0.2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x14ac:dyDescent="0.2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x14ac:dyDescent="0.2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x14ac:dyDescent="0.2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x14ac:dyDescent="0.2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x14ac:dyDescent="0.2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x14ac:dyDescent="0.2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x14ac:dyDescent="0.2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x14ac:dyDescent="0.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x14ac:dyDescent="0.2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x14ac:dyDescent="0.2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x14ac:dyDescent="0.2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x14ac:dyDescent="0.2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x14ac:dyDescent="0.2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x14ac:dyDescent="0.2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x14ac:dyDescent="0.2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x14ac:dyDescent="0.2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x14ac:dyDescent="0.2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x14ac:dyDescent="0.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x14ac:dyDescent="0.2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x14ac:dyDescent="0.2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x14ac:dyDescent="0.2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x14ac:dyDescent="0.2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x14ac:dyDescent="0.2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x14ac:dyDescent="0.2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x14ac:dyDescent="0.2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x14ac:dyDescent="0.2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x14ac:dyDescent="0.2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x14ac:dyDescent="0.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x14ac:dyDescent="0.2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x14ac:dyDescent="0.2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x14ac:dyDescent="0.2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x14ac:dyDescent="0.2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x14ac:dyDescent="0.2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x14ac:dyDescent="0.2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x14ac:dyDescent="0.2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x14ac:dyDescent="0.2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x14ac:dyDescent="0.2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x14ac:dyDescent="0.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x14ac:dyDescent="0.2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x14ac:dyDescent="0.2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x14ac:dyDescent="0.2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x14ac:dyDescent="0.2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x14ac:dyDescent="0.2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x14ac:dyDescent="0.2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x14ac:dyDescent="0.2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x14ac:dyDescent="0.2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x14ac:dyDescent="0.2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x14ac:dyDescent="0.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x14ac:dyDescent="0.2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x14ac:dyDescent="0.2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x14ac:dyDescent="0.2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x14ac:dyDescent="0.2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x14ac:dyDescent="0.2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x14ac:dyDescent="0.2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x14ac:dyDescent="0.2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x14ac:dyDescent="0.2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x14ac:dyDescent="0.2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x14ac:dyDescent="0.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x14ac:dyDescent="0.2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x14ac:dyDescent="0.2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x14ac:dyDescent="0.2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x14ac:dyDescent="0.2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x14ac:dyDescent="0.2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x14ac:dyDescent="0.2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x14ac:dyDescent="0.2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x14ac:dyDescent="0.2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x14ac:dyDescent="0.2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x14ac:dyDescent="0.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x14ac:dyDescent="0.2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x14ac:dyDescent="0.2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x14ac:dyDescent="0.2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x14ac:dyDescent="0.2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x14ac:dyDescent="0.2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x14ac:dyDescent="0.2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x14ac:dyDescent="0.2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x14ac:dyDescent="0.2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x14ac:dyDescent="0.2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x14ac:dyDescent="0.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x14ac:dyDescent="0.2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x14ac:dyDescent="0.2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x14ac:dyDescent="0.2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x14ac:dyDescent="0.2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x14ac:dyDescent="0.2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x14ac:dyDescent="0.2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x14ac:dyDescent="0.2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x14ac:dyDescent="0.2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x14ac:dyDescent="0.2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x14ac:dyDescent="0.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x14ac:dyDescent="0.2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x14ac:dyDescent="0.2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x14ac:dyDescent="0.2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x14ac:dyDescent="0.2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x14ac:dyDescent="0.2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x14ac:dyDescent="0.2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x14ac:dyDescent="0.2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x14ac:dyDescent="0.2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x14ac:dyDescent="0.2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x14ac:dyDescent="0.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x14ac:dyDescent="0.2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x14ac:dyDescent="0.2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x14ac:dyDescent="0.2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x14ac:dyDescent="0.2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x14ac:dyDescent="0.2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x14ac:dyDescent="0.2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x14ac:dyDescent="0.2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x14ac:dyDescent="0.2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x14ac:dyDescent="0.2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x14ac:dyDescent="0.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x14ac:dyDescent="0.2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x14ac:dyDescent="0.2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x14ac:dyDescent="0.2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2.75" x14ac:dyDescent="0.2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2.75" x14ac:dyDescent="0.2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2.75" x14ac:dyDescent="0.2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2.75" x14ac:dyDescent="0.2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2.75" x14ac:dyDescent="0.2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2.75" x14ac:dyDescent="0.2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2.75" x14ac:dyDescent="0.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2.75" x14ac:dyDescent="0.2">
      <c r="A1003" s="1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2.75" x14ac:dyDescent="0.2">
      <c r="A1004" s="1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2.75" x14ac:dyDescent="0.2">
      <c r="A1005" s="1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2.75" x14ac:dyDescent="0.2">
      <c r="A1006" s="1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2.75" x14ac:dyDescent="0.2">
      <c r="A1007" s="1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2.75" x14ac:dyDescent="0.2">
      <c r="A1008" s="1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2.75" x14ac:dyDescent="0.2">
      <c r="A1009" s="1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2.75" x14ac:dyDescent="0.2">
      <c r="A1010" s="1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 spans="1:28" ht="12.75" x14ac:dyDescent="0.2">
      <c r="A1011" s="1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 spans="1:28" ht="12.75" x14ac:dyDescent="0.2">
      <c r="A1012" s="1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 ht="12.75" x14ac:dyDescent="0.2">
      <c r="A1013" s="1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 ht="12.75" x14ac:dyDescent="0.2">
      <c r="A1014" s="1"/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 ht="12.75" x14ac:dyDescent="0.2">
      <c r="A1015" s="1"/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 ht="12.75" x14ac:dyDescent="0.2">
      <c r="A1016" s="1"/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 ht="12.75" x14ac:dyDescent="0.2">
      <c r="A1017" s="1"/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 spans="1:28" ht="12.75" x14ac:dyDescent="0.2">
      <c r="A1018" s="1"/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 spans="1:28" ht="12.75" x14ac:dyDescent="0.2">
      <c r="A1019" s="1"/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 spans="1:28" ht="12.75" x14ac:dyDescent="0.2">
      <c r="A1020" s="1"/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 spans="1:28" ht="12.75" x14ac:dyDescent="0.2">
      <c r="A1021" s="1"/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 spans="1:28" ht="12.75" x14ac:dyDescent="0.2">
      <c r="A1022" s="1"/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 spans="1:28" ht="12.75" x14ac:dyDescent="0.2">
      <c r="A1023" s="1"/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 spans="1:28" ht="12.75" x14ac:dyDescent="0.2">
      <c r="A1024" s="1"/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 spans="1:28" ht="12.75" x14ac:dyDescent="0.2">
      <c r="A1025" s="1"/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 spans="1:28" ht="12.75" x14ac:dyDescent="0.2">
      <c r="A1026" s="1"/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 spans="1:28" ht="12.75" x14ac:dyDescent="0.2">
      <c r="A1027" s="1"/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 spans="1:28" ht="12.75" x14ac:dyDescent="0.2">
      <c r="A1028" s="1"/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 spans="1:28" ht="12.75" x14ac:dyDescent="0.2">
      <c r="A1029" s="1"/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 spans="1:28" ht="12.75" x14ac:dyDescent="0.2">
      <c r="A1030" s="1"/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 spans="1:28" ht="12.75" x14ac:dyDescent="0.2">
      <c r="A1031" s="1"/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 spans="1:28" ht="12.75" x14ac:dyDescent="0.2">
      <c r="A1032" s="1"/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 spans="1:28" ht="12.75" x14ac:dyDescent="0.2">
      <c r="A1033" s="1"/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 spans="1:28" ht="12.75" x14ac:dyDescent="0.2">
      <c r="A1034" s="1"/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 spans="1:28" ht="12.75" x14ac:dyDescent="0.2">
      <c r="A1035" s="1"/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 spans="1:28" ht="12.75" x14ac:dyDescent="0.2">
      <c r="A1036" s="1"/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 spans="1:28" ht="12.75" x14ac:dyDescent="0.2">
      <c r="A1037" s="1"/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 spans="1:28" ht="12.75" x14ac:dyDescent="0.2">
      <c r="A1038" s="1"/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 spans="1:28" ht="12.75" x14ac:dyDescent="0.2">
      <c r="A1039" s="1"/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 spans="1:28" ht="12.75" x14ac:dyDescent="0.2">
      <c r="A1040" s="1"/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 spans="1:28" ht="12.75" x14ac:dyDescent="0.2">
      <c r="A1041" s="1"/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 spans="1:28" ht="12.75" x14ac:dyDescent="0.2">
      <c r="A1042" s="1"/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 spans="1:28" ht="12.75" x14ac:dyDescent="0.2">
      <c r="A1043" s="1"/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 spans="1:28" ht="12.75" x14ac:dyDescent="0.2">
      <c r="A1044" s="1"/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 spans="1:28" ht="12.75" x14ac:dyDescent="0.2">
      <c r="A1045" s="1"/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 spans="1:28" ht="12.75" x14ac:dyDescent="0.2">
      <c r="A1046" s="1"/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 spans="1:28" ht="12.75" x14ac:dyDescent="0.2">
      <c r="A1047" s="1"/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 spans="1:28" ht="12.75" x14ac:dyDescent="0.2">
      <c r="A1048" s="1"/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 spans="1:28" ht="12.75" x14ac:dyDescent="0.2">
      <c r="A1049" s="1"/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 spans="1:28" ht="12.75" x14ac:dyDescent="0.2">
      <c r="A1050" s="1"/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 spans="1:28" ht="12.75" x14ac:dyDescent="0.2">
      <c r="A1051" s="1"/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 spans="1:28" ht="12.75" x14ac:dyDescent="0.2">
      <c r="A1052" s="1"/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 spans="1:28" ht="12.75" x14ac:dyDescent="0.2">
      <c r="A1053" s="1"/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 spans="1:28" ht="12.75" x14ac:dyDescent="0.2">
      <c r="A1054" s="1"/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 spans="1:28" ht="12.75" x14ac:dyDescent="0.2">
      <c r="A1055" s="1"/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 spans="1:28" ht="12.75" x14ac:dyDescent="0.2">
      <c r="A1056" s="1"/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 spans="1:28" ht="12.75" x14ac:dyDescent="0.2">
      <c r="A1057" s="1"/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 spans="1:28" ht="12.75" x14ac:dyDescent="0.2">
      <c r="A1058" s="1"/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 spans="1:28" ht="12.75" x14ac:dyDescent="0.2">
      <c r="A1059" s="1"/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 spans="1:28" ht="12.75" x14ac:dyDescent="0.2">
      <c r="A1060" s="1"/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 spans="1:28" ht="12.75" x14ac:dyDescent="0.2">
      <c r="A1061" s="1"/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 spans="1:28" ht="12.75" x14ac:dyDescent="0.2">
      <c r="A1062" s="1"/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 spans="1:28" ht="12.75" x14ac:dyDescent="0.2">
      <c r="A1063" s="1"/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 spans="1:28" ht="12.75" x14ac:dyDescent="0.2">
      <c r="A1064" s="1"/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 spans="1:28" ht="12.75" x14ac:dyDescent="0.2">
      <c r="A1065" s="1"/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 spans="1:28" ht="12.75" x14ac:dyDescent="0.2">
      <c r="A1066" s="1"/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 spans="1:28" ht="12.75" x14ac:dyDescent="0.2">
      <c r="A1067" s="1"/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 spans="1:28" ht="12.75" x14ac:dyDescent="0.2">
      <c r="A1068" s="1"/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 spans="1:28" ht="12.75" x14ac:dyDescent="0.2">
      <c r="A1069" s="1"/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 spans="1:28" ht="12.75" x14ac:dyDescent="0.2">
      <c r="A1070" s="1"/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 spans="1:28" ht="12.75" x14ac:dyDescent="0.2">
      <c r="A1071" s="1"/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 spans="1:28" ht="12.75" x14ac:dyDescent="0.2">
      <c r="A1072" s="1"/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 spans="1:28" ht="12.75" x14ac:dyDescent="0.2">
      <c r="A1073" s="1"/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 spans="1:28" ht="12.75" x14ac:dyDescent="0.2">
      <c r="A1074" s="1"/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 spans="1:28" ht="12.75" x14ac:dyDescent="0.2">
      <c r="A1075" s="1"/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 spans="1:28" ht="12.75" x14ac:dyDescent="0.2">
      <c r="A1076" s="1"/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 spans="1:28" ht="12.75" x14ac:dyDescent="0.2">
      <c r="A1077" s="1"/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 spans="1:28" ht="12.75" x14ac:dyDescent="0.2">
      <c r="A1078" s="1"/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 spans="1:28" ht="12.75" x14ac:dyDescent="0.2">
      <c r="A1079" s="1"/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 spans="1:28" ht="12.75" x14ac:dyDescent="0.2">
      <c r="A1080" s="1"/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 spans="1:28" ht="12.75" x14ac:dyDescent="0.2">
      <c r="A1081" s="1"/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 spans="1:28" ht="12.75" x14ac:dyDescent="0.2">
      <c r="A1082" s="1"/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 spans="1:28" ht="12.75" x14ac:dyDescent="0.2">
      <c r="A1083" s="1"/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 spans="1:28" ht="12.75" x14ac:dyDescent="0.2">
      <c r="A1084" s="1"/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 spans="1:28" ht="12.75" x14ac:dyDescent="0.2">
      <c r="A1085" s="1"/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 spans="1:28" ht="12.75" x14ac:dyDescent="0.2">
      <c r="A1086" s="1"/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 spans="1:28" ht="12.75" x14ac:dyDescent="0.2">
      <c r="A1087" s="1"/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 spans="1:28" ht="12.75" x14ac:dyDescent="0.2">
      <c r="A1088" s="1"/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 spans="1:28" ht="12.75" x14ac:dyDescent="0.2">
      <c r="A1089" s="1"/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 spans="1:28" ht="12.75" x14ac:dyDescent="0.2">
      <c r="A1090" s="1"/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 spans="1:28" ht="12.75" x14ac:dyDescent="0.2">
      <c r="A1091" s="1"/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 spans="1:28" ht="12.75" x14ac:dyDescent="0.2">
      <c r="A1092" s="1"/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 spans="1:28" ht="12.75" x14ac:dyDescent="0.2">
      <c r="A1093" s="1"/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 spans="1:28" ht="12.75" x14ac:dyDescent="0.2">
      <c r="A1094" s="1"/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 spans="1:28" ht="12.75" x14ac:dyDescent="0.2">
      <c r="A1095" s="1"/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 spans="1:28" ht="12.75" x14ac:dyDescent="0.2">
      <c r="A1096" s="1"/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 spans="1:28" ht="12.75" x14ac:dyDescent="0.2">
      <c r="A1097" s="1"/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 spans="1:28" ht="12.75" x14ac:dyDescent="0.2">
      <c r="A1098" s="1"/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 spans="1:28" ht="12.75" x14ac:dyDescent="0.2">
      <c r="A1099" s="1"/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 spans="1:28" ht="12.75" x14ac:dyDescent="0.2">
      <c r="A1100" s="1"/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 spans="1:28" ht="12.75" x14ac:dyDescent="0.2">
      <c r="A1101" s="1"/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 spans="1:28" ht="12.75" x14ac:dyDescent="0.2">
      <c r="A1102" s="1"/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 spans="1:28" ht="12.75" x14ac:dyDescent="0.2">
      <c r="A1103" s="1"/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 spans="1:28" ht="12.75" x14ac:dyDescent="0.2">
      <c r="A1104" s="1"/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 spans="1:28" ht="12.75" x14ac:dyDescent="0.2">
      <c r="A1105" s="1"/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 spans="1:28" ht="12.75" x14ac:dyDescent="0.2">
      <c r="A1106" s="1"/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 spans="1:28" ht="12.75" x14ac:dyDescent="0.2">
      <c r="A1107" s="1"/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 spans="1:28" ht="12.75" x14ac:dyDescent="0.2">
      <c r="A1108" s="1"/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 spans="1:28" ht="12.75" x14ac:dyDescent="0.2">
      <c r="A1109" s="1"/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 spans="1:28" ht="12.75" x14ac:dyDescent="0.2">
      <c r="A1110" s="1"/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spans="1:28" ht="12.75" x14ac:dyDescent="0.2">
      <c r="A1111" s="1"/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 spans="1:28" ht="12.75" x14ac:dyDescent="0.2">
      <c r="A1112" s="1"/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 spans="1:28" ht="12.75" x14ac:dyDescent="0.2">
      <c r="A1113" s="1"/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 spans="1:28" ht="12.75" x14ac:dyDescent="0.2">
      <c r="A1114" s="1"/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 spans="1:28" ht="12.75" x14ac:dyDescent="0.2">
      <c r="A1115" s="1"/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 spans="1:28" ht="12.75" x14ac:dyDescent="0.2">
      <c r="A1116" s="1"/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 spans="1:28" ht="12.75" x14ac:dyDescent="0.2">
      <c r="A1117" s="1"/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 spans="1:28" ht="12.75" x14ac:dyDescent="0.2">
      <c r="A1118" s="1"/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 spans="1:28" ht="12.75" x14ac:dyDescent="0.2">
      <c r="A1119" s="1"/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 spans="1:28" ht="12.75" x14ac:dyDescent="0.2">
      <c r="A1120" s="1"/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 spans="1:28" ht="12.75" x14ac:dyDescent="0.2">
      <c r="A1121" s="1"/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 spans="1:28" ht="12.75" x14ac:dyDescent="0.2">
      <c r="A1122" s="1"/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 spans="1:28" ht="12.75" x14ac:dyDescent="0.2">
      <c r="A1123" s="1"/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 spans="1:28" ht="12.75" x14ac:dyDescent="0.2">
      <c r="A1124" s="1"/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 spans="1:28" ht="12.75" x14ac:dyDescent="0.2">
      <c r="A1125" s="1"/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 spans="1:28" ht="12.75" x14ac:dyDescent="0.2">
      <c r="A1126" s="1"/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 spans="1:28" ht="12.75" x14ac:dyDescent="0.2">
      <c r="A1127" s="1"/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 spans="1:28" ht="12.75" x14ac:dyDescent="0.2">
      <c r="A1128" s="1"/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 spans="1:28" ht="12.75" x14ac:dyDescent="0.2">
      <c r="A1129" s="1"/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 spans="1:28" ht="12.75" x14ac:dyDescent="0.2">
      <c r="A1130" s="1"/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 spans="1:28" ht="12.75" x14ac:dyDescent="0.2">
      <c r="A1131" s="1"/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 spans="1:28" ht="12.75" x14ac:dyDescent="0.2">
      <c r="A1132" s="1"/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 spans="1:28" ht="12.75" x14ac:dyDescent="0.2">
      <c r="A1133" s="1"/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 spans="1:28" ht="12.75" x14ac:dyDescent="0.2">
      <c r="A1134" s="1"/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 spans="1:28" ht="12.75" x14ac:dyDescent="0.2">
      <c r="A1135" s="1"/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 spans="1:28" ht="12.75" x14ac:dyDescent="0.2">
      <c r="A1136" s="1"/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 spans="1:28" ht="12.75" x14ac:dyDescent="0.2">
      <c r="A1137" s="1"/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 spans="1:28" ht="12.75" x14ac:dyDescent="0.2">
      <c r="A1138" s="1"/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 spans="1:28" ht="12.75" x14ac:dyDescent="0.2">
      <c r="A1139" s="1"/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 spans="1:28" ht="12.75" x14ac:dyDescent="0.2">
      <c r="A1140" s="1"/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 spans="1:28" ht="12.75" x14ac:dyDescent="0.2">
      <c r="A1141" s="1"/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 spans="1:28" ht="12.75" x14ac:dyDescent="0.2">
      <c r="A1142" s="1"/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 spans="1:28" ht="12.75" x14ac:dyDescent="0.2">
      <c r="A1143" s="1"/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 spans="1:28" ht="12.75" x14ac:dyDescent="0.2">
      <c r="A1144" s="1"/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</sheetData>
  <autoFilter ref="A5:AB18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Апрель 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Волчкова Светлана</dc:creator>
  <cp:lastModifiedBy>Светлана</cp:lastModifiedBy>
  <dcterms:created xsi:type="dcterms:W3CDTF">2026-05-06T07:44:32Z</dcterms:created>
  <dcterms:modified xsi:type="dcterms:W3CDTF">2026-05-06T08:24:50Z</dcterms:modified>
</cp:coreProperties>
</file>