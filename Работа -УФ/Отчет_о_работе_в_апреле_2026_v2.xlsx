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5000"/>
  </bookViews>
  <sheets>
    <sheet name="Отчет" sheetId="1" r:id="rId1"/>
    <sheet name="Данные" sheetId="2" r:id="rId2"/>
  </sheets>
  <calcPr calcId="0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 ##0,00"/>
    <numFmt numFmtId="165" formatCode="# ##0,00"/>
  </numFmts>
  <fonts count="3">
    <font>
      <sz val="11"/>
      <name val="Calibri"/>
    </font>
    <font>
      <b/>
      <sz val="14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horizontal="right"/>
    </xf>
    <xf numFmtId="164" fontId="0" fillId="0" borderId="1" xfId="0" applyNumberFormat="1" applyBorder="1" applyAlignment="1">
      <alignment vertical="top" horizontal="right"/>
    </xf>
    <xf numFmtId="165" fontId="0" fillId="0" borderId="1" xfId="0" applyNumberFormat="1" applyBorder="1" applyAlignment="1">
      <alignment vertical="top"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52" customWidth="1"/>
    <col min="3" max="3" width="52" customWidth="1"/>
    <col min="4" max="4" width="48" customWidth="1"/>
    <col min="5" max="5" width="14" customWidth="1"/>
    <col min="6" max="6" width="12" customWidth="1"/>
    <col min="7" max="7" width="15" customWidth="1"/>
  </cols>
  <sheetData>
    <row r="1">
      <c r="A1" t="inlineStr" s="1">
        <is>
          <t>Отчет о работе в апреле 2026</t>
        </is>
      </c>
    </row>
    <row r="2">
      <c r="A2" t="inlineStr" s="2">
        <is>
          <t>Источник: Финансист_ВС. (1).xlsx, лист Апрель 26</t>
        </is>
      </c>
    </row>
    <row r="4">
      <c r="A4" t="inlineStr" s="3">
        <is>
          <t>Клиент</t>
        </is>
      </c>
      <c r="B4" t="inlineStr" s="3">
        <is>
          <t>Суть работ</t>
        </is>
      </c>
      <c r="C4" t="inlineStr" s="3">
        <is>
          <t>Результат</t>
        </is>
      </c>
      <c r="D4" t="inlineStr" s="3">
        <is>
          <t>Вывод</t>
        </is>
      </c>
      <c r="E4" t="inlineStr" s="3">
        <is>
          <t>Кол-во записей</t>
        </is>
      </c>
      <c r="F4" t="inlineStr" s="3">
        <is>
          <t>Часы</t>
        </is>
      </c>
      <c r="G4" t="inlineStr" s="3">
        <is>
          <t>Стоимость</t>
        </is>
      </c>
    </row>
    <row r="5">
      <c r="A5" t="inlineStr" s="4">
        <is>
          <t>Арк</t>
        </is>
      </c>
      <c r="B5" t="inlineStr" s="4">
        <is>
          <t>Подготовка ОДДС за март по Арктике.</t>
        </is>
      </c>
      <c r="C5" t="inlineStr" s="4">
        <is>
          <t>Отчет за март собран.</t>
        </is>
      </c>
      <c r="D5" t="inlineStr" s="4">
        <is>
          <t>Разовая отчетная работа, результат закрыт.</t>
        </is>
      </c>
      <c r="E5" s="5">
        <f>COUNTIF('Данные'!$C:$C,A5)</f>
      </c>
      <c r="F5" s="6">
        <f>SUMIF('Данные'!$C:$C,A5,'Данные'!$E:$E)</f>
      </c>
      <c r="G5" s="7">
        <f>SUMIF('Данные'!$C:$C,A5,'Данные'!$F:$F)</f>
      </c>
    </row>
    <row r="6">
      <c r="A6" t="inlineStr" s="4">
        <is>
          <t>Атт</t>
        </is>
      </c>
      <c r="B6" t="inlineStr" s="4">
        <is>
          <t>Сбор факта за февраль-март 2026, разнесение по статьям ДДС, заполнение формы и проверка ошибок.</t>
        </is>
      </c>
      <c r="C6" t="inlineStr" s="4">
        <is>
          <t>ДДС за февраль-март собран, классифицирован и проверен.</t>
        </is>
      </c>
      <c r="D6" t="inlineStr" s="4">
        <is>
          <t>Данные приведены к управленческому виду; остаточный риск - ошибки первичных данных.</t>
        </is>
      </c>
      <c r="E6" s="5">
        <f>COUNTIF('Данные'!$C:$C,A6)</f>
      </c>
      <c r="F6" s="6">
        <f>SUMIF('Данные'!$C:$C,A6,'Данные'!$E:$E)</f>
      </c>
      <c r="G6" s="7">
        <f>SUMIF('Данные'!$C:$C,A6,'Данные'!$F:$F)</f>
      </c>
    </row>
    <row r="7">
      <c r="A7" t="inlineStr" s="4">
        <is>
          <t>ИП С О.Е.</t>
        </is>
      </c>
      <c r="B7" t="inlineStr" s="4">
        <is>
          <t>Сбор данных из 1С для отчета за 2025 год, заполнение БДР за ноябрь-декабрь 2025, проверка остатков с июня 2025.</t>
        </is>
      </c>
      <c r="C7" t="inlineStr" s="4">
        <is>
          <t>БДР за ноябрь-декабрь подготовлен; по остаткам выявлено расхождение с программой и выполнена корректировка.</t>
        </is>
      </c>
      <c r="D7" t="inlineStr" s="4">
        <is>
          <t>Отчетность продвинута, но остатки требуют дополнительной сверки с учетной базой.</t>
        </is>
      </c>
      <c r="E7" s="5">
        <f>COUNTIF('Данные'!$C:$C,A7)</f>
      </c>
      <c r="F7" s="6">
        <f>SUMIF('Данные'!$C:$C,A7,'Данные'!$E:$E)</f>
      </c>
      <c r="G7" s="7">
        <f>SUMIF('Данные'!$C:$C,A7,'Данные'!$F:$F)</f>
      </c>
    </row>
    <row r="8">
      <c r="A8" t="inlineStr" s="4">
        <is>
          <t>ИП С С.П.</t>
        </is>
      </c>
      <c r="B8" t="inlineStr" s="4">
        <is>
          <t>Подготовка ДДС за март 2026, свод по статьям, проверка прошлых периодов, работа с БДР за ноябрь-декабрь 2025.</t>
        </is>
      </c>
      <c r="C8" t="inlineStr" s="4">
        <is>
          <t>ДДС за март и БДР за ноябрь-декабрь собраны и проверены по базам.</t>
        </is>
      </c>
      <c r="D8" t="inlineStr" s="4">
        <is>
          <t>Основные управленческие формы собраны; база для анализа периода готова.</t>
        </is>
      </c>
      <c r="E8" s="5">
        <f>COUNTIF('Данные'!$C:$C,A8)</f>
      </c>
      <c r="F8" s="6">
        <f>SUMIF('Данные'!$C:$C,A8,'Данные'!$E:$E)</f>
      </c>
      <c r="G8" s="7">
        <f>SUMIF('Данные'!$C:$C,A8,'Данные'!$F:$F)</f>
      </c>
    </row>
    <row r="9">
      <c r="A9" t="inlineStr" s="4">
        <is>
          <t>ИП С С.П. (новый продукт)</t>
        </is>
      </c>
      <c r="B9" t="inlineStr" s="4">
        <is>
          <t>Анализ разговора с клиентом, подготовка план-шаблона внедрения, рабочий созвон.</t>
        </is>
      </c>
      <c r="C9" t="inlineStr" s="4">
        <is>
          <t>Сформирован стартовый план внедрения нового продукта.</t>
        </is>
      </c>
      <c r="D9" t="inlineStr" s="4">
        <is>
          <t>Клиент переведен из обсуждения в этап планирования внедрения.</t>
        </is>
      </c>
      <c r="E9" s="5">
        <f>COUNTIF('Данные'!$C:$C,A9)</f>
      </c>
      <c r="F9" s="6">
        <f>SUMIF('Данные'!$C:$C,A9,'Данные'!$E:$E)</f>
      </c>
      <c r="G9" s="7">
        <f>SUMIF('Данные'!$C:$C,A9,'Данные'!$F:$F)</f>
      </c>
    </row>
    <row r="10">
      <c r="A10" t="inlineStr" s="4">
        <is>
          <t>Рем</t>
        </is>
      </c>
      <c r="B10" t="inlineStr" s="4">
        <is>
          <t>Ведение и настройка платежного календаря, реестра платежей, договоров и займов; сверки с банком и Диадоком; регламент работы; разбор налогов за 1 квартал 2026; ответы по требованиям ИФНС; пояснения собственнику.</t>
        </is>
      </c>
      <c r="C10" t="inlineStr" s="4">
        <is>
          <t>Платежный календарь и реестры поддерживались в рабочем состоянии, данные по договорам, займам и оплатам обновлялись, регламент подготовлен и согласовывался, налоговые вопросы и требования разобраны.</t>
        </is>
      </c>
      <c r="D10" t="inlineStr" s="4">
        <is>
          <t>Ключевой объем месяца: операционное сопровождение казначейства плюс налоговые разборы. Есть риски по качеству входящих данных и реквизитам оплат.</t>
        </is>
      </c>
      <c r="E10" s="5">
        <f>COUNTIF('Данные'!$C:$C,A10)</f>
      </c>
      <c r="F10" s="6">
        <f>SUMIF('Данные'!$C:$C,A10,'Данные'!$E:$E)</f>
      </c>
      <c r="G10" s="7">
        <f>SUMIF('Данные'!$C:$C,A10,'Данные'!$F:$F)</f>
      </c>
    </row>
    <row r="11">
      <c r="A11" t="inlineStr" s="4">
        <is>
          <t>УФ</t>
        </is>
      </c>
      <c r="B11" t="inlineStr" s="4">
        <is>
          <t>Разработка и запуск нового продукта: переговоры с потенциальными клиентами, презентации и КП, шаблоны и чек-листы; по УС - ДДС-справочник, платежный календарь, факт апреля, банковские выписки и наличные; по УРС - подготовка к внедрению, доступы, изучение СБИС и таблиц.</t>
        </is>
      </c>
      <c r="C11" t="inlineStr" s="4">
        <is>
          <t>Подготовлена база для внедрения нового продукта; по УС создан и наполнен платежный календарь с ДДС-структурой; по УРС собраны вводные и вопросы для продолжения работ.</t>
        </is>
      </c>
      <c r="D11" t="inlineStr" s="4">
        <is>
          <t>Внутренние работы не тарифицировались, но сформировали основу продукта и пилотные материалы для клиентов.</t>
        </is>
      </c>
      <c r="E11" s="5">
        <f>COUNTIF('Данные'!$C:$C,A11)</f>
      </c>
      <c r="F11" s="6">
        <f>SUMIF('Данные'!$C:$C,A11,'Данные'!$E:$E)</f>
      </c>
      <c r="G11" s="7">
        <f>SUMIF('Данные'!$C:$C,A11,'Данные'!$F:$F)</f>
      </c>
    </row>
    <row r="12">
      <c r="A12" t="inlineStr" s="3">
        <is>
          <t>Итого</t>
        </is>
      </c>
      <c r="E12" s="5">
        <f>SUM(E5:E11)</f>
      </c>
      <c r="F12" s="6">
        <f>SUM(F5:F11)</f>
      </c>
      <c r="G12" s="7">
        <f>SUM(G5:G11)</f>
      </c>
    </row>
    <row r="14">
      <c r="A14" t="inlineStr" s="3">
        <is>
          <t>Проверка данных</t>
        </is>
      </c>
    </row>
    <row r="15">
      <c r="A15" t="inlineStr" s="4">
        <is>
          <t>Всего строк исходных данных: формула на листе показывает количество записей по клиентам.</t>
        </is>
      </c>
    </row>
    <row r="16">
      <c r="A16" t="inlineStr" s="4">
        <is>
          <t>Обнаружена дата 24.04.0202: похоже на ошибку ввода, требуется проверка в исходном табеле.</t>
        </is>
      </c>
    </row>
    <row r="17">
      <c r="A17" t="inlineStr" s="4">
        <is>
          <t>Есть строки с нулевыми часами по УФ: они оставлены в данных, так как присутствуют в исходном файле.</t>
        </is>
      </c>
    </row>
    <row r="18">
      <c r="A18" t="inlineStr" s="4">
        <is>
          <t>По УФ стоимость равна 0,00: в исходном файле стоит формула с нулевой стоимостью для внутреннего контрагента.</t>
        </is>
      </c>
    </row>
  </sheetData>
  <autoFilter ref="A4:G12"/>
  <mergeCells count="3">
    <mergeCell ref="A1:G1"/>
    <mergeCell ref="A2:G2"/>
    <mergeCell ref="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9" customWidth="1"/>
    <col min="3" max="3" width="28" customWidth="1"/>
    <col min="4" max="4" width="95" customWidth="1"/>
    <col min="5" max="5" width="16" customWidth="1"/>
    <col min="6" max="6" width="15" customWidth="1"/>
  </cols>
  <sheetData>
    <row r="1">
      <c r="A1" t="inlineStr" s="3">
        <is>
          <t>Дата</t>
        </is>
      </c>
      <c r="B1" t="inlineStr" s="3">
        <is>
          <t>№ п/п</t>
        </is>
      </c>
      <c r="C1" t="inlineStr" s="3">
        <is>
          <t>Контрагент</t>
        </is>
      </c>
      <c r="D1" t="inlineStr" s="3">
        <is>
          <t>Наименование работ</t>
        </is>
      </c>
      <c r="E1" t="inlineStr" s="3">
        <is>
          <t>Количество часов</t>
        </is>
      </c>
      <c r="F1" t="inlineStr" s="3">
        <is>
          <t>Стоимость</t>
        </is>
      </c>
    </row>
    <row r="2">
      <c r="A2" t="inlineStr" s="4">
        <is>
          <t>01.04.2026</t>
        </is>
      </c>
      <c r="B2" s="5">
        <v>1</v>
      </c>
      <c r="C2" t="inlineStr" s="4">
        <is>
          <t>УФ</t>
        </is>
      </c>
      <c r="D2" t="inlineStr" s="4">
        <is>
          <t>новый продукт, определение клиентов,</t>
        </is>
      </c>
      <c r="E2" s="6">
        <v>0.5</v>
      </c>
      <c r="F2" s="7">
        <v>0</v>
      </c>
    </row>
    <row r="3">
      <c r="A3" t="inlineStr" s="4">
        <is>
          <t>01.04.2026</t>
        </is>
      </c>
      <c r="B3" s="5">
        <v>2</v>
      </c>
      <c r="C3" t="inlineStr" s="4">
        <is>
          <t>УФ</t>
        </is>
      </c>
      <c r="D3" t="inlineStr" s="4">
        <is>
          <t>созвон с Татьяна ДТД УРС, АЛТР- проверка заполнения сделки , как удобнее связываться и чем компания занимаеться</t>
        </is>
      </c>
      <c r="E3" s="6">
        <v>0.5</v>
      </c>
      <c r="F3" s="7">
        <v>0</v>
      </c>
    </row>
    <row r="4">
      <c r="A4" t="inlineStr" s="4">
        <is>
          <t>01.04.2026</t>
        </is>
      </c>
      <c r="B4" s="5">
        <v>3</v>
      </c>
      <c r="C4" t="inlineStr" s="4">
        <is>
          <t>УФ</t>
        </is>
      </c>
      <c r="D4" t="inlineStr" s="4">
        <is>
          <t>Созвон с собствеником Тарасом П АЛТР- не понятен продукт , хочется наглядно, ведет платежный календарь на гугл таблицах , в налогах разбирается лучше бухгалтерии</t>
        </is>
      </c>
      <c r="E4" s="6">
        <v>0.3</v>
      </c>
      <c r="F4" s="7">
        <v>0</v>
      </c>
    </row>
    <row r="5">
      <c r="A5" t="inlineStr" s="4">
        <is>
          <t>01.04.2026</t>
        </is>
      </c>
      <c r="B5" s="5">
        <v>4</v>
      </c>
      <c r="C5" t="inlineStr" s="4">
        <is>
          <t>УФ</t>
        </is>
      </c>
      <c r="D5" t="inlineStr" s="4">
        <is>
          <t>сбор и отправка документов на корпоротивную почту, презентация и пример платежного календаря</t>
        </is>
      </c>
      <c r="E5" s="6">
        <v>0.7</v>
      </c>
      <c r="F5" s="7">
        <v>0</v>
      </c>
    </row>
    <row r="6">
      <c r="A6" t="inlineStr" s="4">
        <is>
          <t>01.04.2026</t>
        </is>
      </c>
      <c r="B6" s="5">
        <v>5</v>
      </c>
      <c r="C6" t="inlineStr" s="4">
        <is>
          <t>УФ</t>
        </is>
      </c>
      <c r="D6" t="inlineStr" s="4">
        <is>
          <t>выставление счета и пояснение для ИП Неп необходимость оплатить счет за март, так как банковские выписка были выгруженные только 2 марта в первый рабочий день, отчет за февраль бы сформирован только 3 марта и отправлен Литвиновой Юлии, которая отказалась с нами сотрудничать в марте.</t>
        </is>
      </c>
      <c r="E6" s="6">
        <v>0.583333333333</v>
      </c>
      <c r="F6" s="7">
        <v>0</v>
      </c>
    </row>
    <row r="7">
      <c r="A7" t="inlineStr" s="4">
        <is>
          <t>01.04.2026</t>
        </is>
      </c>
      <c r="B7" s="5">
        <v>6</v>
      </c>
      <c r="C7" t="inlineStr" s="4">
        <is>
          <t>УФ</t>
        </is>
      </c>
      <c r="D7" t="inlineStr" s="4">
        <is>
          <t>не дозвонилась до Фад, написала в чате ТД УРС- проверка как заполнена сделка , какая система налогообложения</t>
        </is>
      </c>
      <c r="E7" s="6">
        <v>0.283333333333</v>
      </c>
      <c r="F7" s="7">
        <v>0</v>
      </c>
    </row>
    <row r="8">
      <c r="A8" t="inlineStr" s="4">
        <is>
          <t>01.04.2026</t>
        </is>
      </c>
      <c r="B8" s="5">
        <v>7</v>
      </c>
      <c r="C8" t="inlineStr" s="4">
        <is>
          <t>УФ</t>
        </is>
      </c>
      <c r="D8" t="inlineStr" s="4">
        <is>
          <t>АЛТР зантересовала только предложение по оптимизации налогов</t>
        </is>
      </c>
      <c r="E8" s="6">
        <v>0.25</v>
      </c>
      <c r="F8" s="7">
        <v>0</v>
      </c>
    </row>
    <row r="9">
      <c r="A9" t="inlineStr" s="4">
        <is>
          <t>01.04.2026</t>
        </is>
      </c>
      <c r="B9" s="5">
        <v>8</v>
      </c>
      <c r="C9" t="inlineStr" s="4">
        <is>
          <t>УФ</t>
        </is>
      </c>
      <c r="D9" t="inlineStr" s="4">
        <is>
          <t>разьяснение ИП Неп- что оплата за февраль не могла быть включена в февраль, так как работы были сделаны фактически в марте, счет выставлен по факту. Расчет сумм предварительно не возможен, поскольку фактические работы за февраль были оплачены не в полном обьеме.</t>
        </is>
      </c>
      <c r="E9" s="6">
        <v>0.25</v>
      </c>
      <c r="F9" s="7">
        <v>0</v>
      </c>
    </row>
    <row r="10">
      <c r="A10" t="inlineStr" s="4">
        <is>
          <t>01.04.2026</t>
        </is>
      </c>
      <c r="B10" s="5">
        <v>9</v>
      </c>
      <c r="C10" t="inlineStr" s="4">
        <is>
          <t>УФ</t>
        </is>
      </c>
      <c r="D10" t="inlineStr" s="4">
        <is>
          <t>Пыталась найти базы двух компаний, выясняла с бухгалтерией</t>
        </is>
      </c>
      <c r="E10" s="6">
        <v>0.5</v>
      </c>
      <c r="F10" s="7">
        <v>0</v>
      </c>
    </row>
    <row r="11">
      <c r="A11" t="inlineStr" s="4">
        <is>
          <t>01.04.2026</t>
        </is>
      </c>
      <c r="B11" s="5">
        <v>10</v>
      </c>
      <c r="C11" t="inlineStr" s="4">
        <is>
          <t>УФ</t>
        </is>
      </c>
      <c r="D11" t="inlineStr" s="4">
        <is>
          <t>Ф-тэк выясняю кто бухгалтер</t>
        </is>
      </c>
      <c r="E11" s="6">
        <v>0.25</v>
      </c>
      <c r="F11" s="7">
        <v>0</v>
      </c>
    </row>
    <row r="12">
      <c r="A12" t="inlineStr" s="4">
        <is>
          <t>01.04.2026</t>
        </is>
      </c>
      <c r="B12" s="5">
        <v>11</v>
      </c>
      <c r="C12" t="inlineStr" s="4">
        <is>
          <t>УФ</t>
        </is>
      </c>
      <c r="D12" t="inlineStr" s="4">
        <is>
          <t>Созвон с Мирошниченко Людмилой</t>
        </is>
      </c>
      <c r="E12" s="6">
        <v>1</v>
      </c>
      <c r="F12" s="7">
        <v>0</v>
      </c>
    </row>
    <row r="13">
      <c r="A13" t="inlineStr" s="4">
        <is>
          <t>02.04.2026</t>
        </is>
      </c>
      <c r="B13" s="5">
        <v>12</v>
      </c>
      <c r="C13" t="inlineStr" s="4">
        <is>
          <t>УФ</t>
        </is>
      </c>
      <c r="D13" t="inlineStr" s="4">
        <is>
          <t>Ф-тэк, сбор информации по клиенту, созвон- коротко кто я и что я хочу. Подготовка письма дляЛитвиновских Алексея с описанием нашего нового продукта , приложила презентпцию исправленную и образец платежного календаря.</t>
        </is>
      </c>
      <c r="E13" s="6">
        <v>1.5</v>
      </c>
      <c r="F13" s="7">
        <v>0</v>
      </c>
    </row>
    <row r="14">
      <c r="A14" t="inlineStr" s="4">
        <is>
          <t>02.04.2026</t>
        </is>
      </c>
      <c r="B14" s="5">
        <v>13</v>
      </c>
      <c r="C14" t="inlineStr" s="4">
        <is>
          <t>УФ</t>
        </is>
      </c>
      <c r="D14" t="inlineStr" s="4">
        <is>
          <t>Созвон в чате финанстист</t>
        </is>
      </c>
      <c r="E14" s="6">
        <v>0.5</v>
      </c>
      <c r="F14" s="7">
        <v>0</v>
      </c>
    </row>
    <row r="15">
      <c r="A15" t="inlineStr" s="4">
        <is>
          <t>02.04.2026</t>
        </is>
      </c>
      <c r="B15" s="5">
        <v>14</v>
      </c>
      <c r="C15" t="inlineStr" s="4">
        <is>
          <t>УФ</t>
        </is>
      </c>
      <c r="D15" t="inlineStr" s="4">
        <is>
          <t>ТД УРС Составление письма для Фад Дениса Сергеевича, так как не отвечает в чате</t>
        </is>
      </c>
      <c r="E15" s="6">
        <v>0.666666666667</v>
      </c>
      <c r="F15" s="7">
        <v>0</v>
      </c>
    </row>
    <row r="16">
      <c r="A16" t="inlineStr" s="4">
        <is>
          <t>02.04.2026</t>
        </is>
      </c>
      <c r="B16" s="5">
        <v>15</v>
      </c>
      <c r="C16" t="inlineStr" s="4">
        <is>
          <t>УФ</t>
        </is>
      </c>
      <c r="D16" t="inlineStr" s="4">
        <is>
          <t>УС- просмотр информации по клиенту</t>
        </is>
      </c>
      <c r="E16" s="6">
        <v>0.333333333333</v>
      </c>
      <c r="F16" s="7">
        <v>0</v>
      </c>
    </row>
    <row r="17">
      <c r="A17" t="inlineStr" s="4">
        <is>
          <t>02.04.2026</t>
        </is>
      </c>
      <c r="B17" s="5">
        <v>16</v>
      </c>
      <c r="C17" t="inlineStr" s="4">
        <is>
          <t>УФ</t>
        </is>
      </c>
      <c r="D17" t="inlineStr" s="4">
        <is>
          <t>ТД УРС корректировка письма для Фад Дениса Сергеевича, , написала в чат более развернуто</t>
        </is>
      </c>
      <c r="E17" s="6">
        <v>0.333333333333</v>
      </c>
      <c r="F17" s="7">
        <v>0</v>
      </c>
    </row>
    <row r="18">
      <c r="A18" t="inlineStr" s="4">
        <is>
          <t>02.04.2026</t>
        </is>
      </c>
      <c r="B18" s="5">
        <v>17</v>
      </c>
      <c r="C18" t="inlineStr" s="4">
        <is>
          <t>УФ</t>
        </is>
      </c>
      <c r="D18" t="inlineStr" s="4">
        <is>
          <t>УС- созвон с собственником -Мариной, дружелюбно настроена</t>
        </is>
      </c>
      <c r="E18" s="6">
        <v>0.033333333333</v>
      </c>
      <c r="F18" s="7">
        <v>0</v>
      </c>
    </row>
    <row r="19">
      <c r="A19" t="inlineStr" s="4">
        <is>
          <t>02.04.2026</t>
        </is>
      </c>
      <c r="B19" s="5">
        <v>18</v>
      </c>
      <c r="C19" t="inlineStr" s="4">
        <is>
          <t>УФ</t>
        </is>
      </c>
      <c r="D19" t="inlineStr" s="4">
        <is>
          <t>УС- подготовила письмо с вложеним презентации и образец ПК</t>
        </is>
      </c>
      <c r="E19" s="6">
        <v>0.133333333333</v>
      </c>
      <c r="F19" s="7">
        <v>0</v>
      </c>
    </row>
    <row r="20">
      <c r="A20" t="inlineStr" s="4">
        <is>
          <t>02.04.2026</t>
        </is>
      </c>
      <c r="B20" s="5">
        <v>19</v>
      </c>
      <c r="C20" t="inlineStr" s="4">
        <is>
          <t>УФ</t>
        </is>
      </c>
      <c r="D20" t="inlineStr" s="4">
        <is>
          <t>Созвон с финансистом по Р</t>
        </is>
      </c>
      <c r="E20" s="6">
        <v>2</v>
      </c>
      <c r="F20" s="7">
        <v>0</v>
      </c>
    </row>
    <row r="21">
      <c r="A21" t="inlineStr" s="4">
        <is>
          <t>03.04.2026</t>
        </is>
      </c>
      <c r="B21" s="5">
        <v>20</v>
      </c>
      <c r="C21" t="inlineStr" s="4">
        <is>
          <t>УФ</t>
        </is>
      </c>
      <c r="D21" t="inlineStr" s="4">
        <is>
          <t>оперативка по новому продукту</t>
        </is>
      </c>
      <c r="E21" s="6">
        <v>0.5</v>
      </c>
      <c r="F21" s="7">
        <v>0</v>
      </c>
    </row>
    <row r="22">
      <c r="A22" t="inlineStr" s="4">
        <is>
          <t>03.04.2026</t>
        </is>
      </c>
      <c r="B22" s="5">
        <v>21</v>
      </c>
      <c r="C22" t="inlineStr" s="4">
        <is>
          <t>Рем</t>
        </is>
      </c>
      <c r="D22" t="inlineStr" s="4">
        <is>
          <t>Созвон по платежному календарю с Ириной В. изменения по договору Решин, проверка чата,</t>
        </is>
      </c>
      <c r="E22" s="6">
        <v>1</v>
      </c>
      <c r="F22" s="7">
        <v>2000</v>
      </c>
    </row>
    <row r="23">
      <c r="A23" t="inlineStr" s="4">
        <is>
          <t>03.04.2026</t>
        </is>
      </c>
      <c r="B23" s="5">
        <v>22</v>
      </c>
      <c r="C23" t="inlineStr" s="4">
        <is>
          <t>Рем</t>
        </is>
      </c>
      <c r="D23" t="inlineStr" s="4">
        <is>
          <t>внесение договора в реестр договоров, доп соглашений в платежный календарь и корректировка сумм в платежном календаре</t>
        </is>
      </c>
      <c r="E23" s="6">
        <v>1.5</v>
      </c>
      <c r="F23" s="7">
        <v>3000</v>
      </c>
    </row>
    <row r="24">
      <c r="A24" t="inlineStr" s="4">
        <is>
          <t>03.04.2026</t>
        </is>
      </c>
      <c r="B24" s="5">
        <v>23</v>
      </c>
      <c r="C24" t="inlineStr" s="4">
        <is>
          <t>УФ</t>
        </is>
      </c>
      <c r="D24" t="inlineStr" s="4">
        <is>
          <t>созвон с УС Марина, собственник 2 тариф, для ПК нужно сделать справочник контрагентов по договорам</t>
        </is>
      </c>
      <c r="E24" s="6">
        <v>0.166666666667</v>
      </c>
      <c r="F24" s="7">
        <v>0</v>
      </c>
    </row>
    <row r="25">
      <c r="A25" t="inlineStr" s="4">
        <is>
          <t>03.04.2026</t>
        </is>
      </c>
      <c r="B25" s="5">
        <v>24</v>
      </c>
      <c r="C25" t="inlineStr" s="4">
        <is>
          <t>УФ</t>
        </is>
      </c>
      <c r="D25" t="inlineStr" s="4">
        <is>
          <t>созвон с Ф-тэк не зантересовало наше предложение</t>
        </is>
      </c>
      <c r="E25" s="6">
        <v>0.033333333333</v>
      </c>
      <c r="F25" s="7">
        <v>0</v>
      </c>
    </row>
    <row r="26">
      <c r="A26" t="inlineStr" s="4">
        <is>
          <t>03.04.2026</t>
        </is>
      </c>
      <c r="B26" s="5">
        <v>25</v>
      </c>
      <c r="C26" t="inlineStr" s="4">
        <is>
          <t>Рем</t>
        </is>
      </c>
      <c r="D26" t="inlineStr" s="4">
        <is>
          <t>созвон с Е.Кузнецовой по проводу организации работы в ПК</t>
        </is>
      </c>
      <c r="E26" s="6">
        <v>0.5</v>
      </c>
      <c r="F26" s="7">
        <v>1000</v>
      </c>
    </row>
    <row r="27">
      <c r="A27" t="inlineStr" s="4">
        <is>
          <t>03.04.2026</t>
        </is>
      </c>
      <c r="B27" s="5">
        <v>26</v>
      </c>
      <c r="C27" t="inlineStr" s="4">
        <is>
          <t>УФ</t>
        </is>
      </c>
      <c r="D27" t="inlineStr" s="4">
        <is>
          <t>созвон с финансистом</t>
        </is>
      </c>
      <c r="E27" s="6">
        <v>0.5</v>
      </c>
      <c r="F27" s="7">
        <v>0</v>
      </c>
    </row>
    <row r="28">
      <c r="A28" t="inlineStr" s="4">
        <is>
          <t>03.04.2026</t>
        </is>
      </c>
      <c r="B28" s="5">
        <v>27</v>
      </c>
      <c r="C28" t="inlineStr" s="4">
        <is>
          <t>УФ</t>
        </is>
      </c>
      <c r="D28" t="inlineStr" s="4">
        <is>
          <t>УС Созвон с Д Г по наличию договоров, настойка удаленной база для определения основных статей доходов и расходов.</t>
        </is>
      </c>
      <c r="E28" s="6">
        <v>1</v>
      </c>
      <c r="F28" s="7">
        <v>0</v>
      </c>
    </row>
    <row r="29">
      <c r="A29" t="inlineStr" s="4">
        <is>
          <t>06.04.2026</t>
        </is>
      </c>
      <c r="B29" s="5">
        <v>28</v>
      </c>
      <c r="C29" t="inlineStr" s="4">
        <is>
          <t>УФ</t>
        </is>
      </c>
      <c r="D29" t="inlineStr" s="4">
        <is>
          <t>созвон</t>
        </is>
      </c>
      <c r="E29" s="6">
        <v>0.333333333333</v>
      </c>
      <c r="F29" s="7">
        <v>0</v>
      </c>
    </row>
    <row r="30">
      <c r="A30" t="inlineStr" s="4">
        <is>
          <t>06.04.2026</t>
        </is>
      </c>
      <c r="B30" s="5">
        <v>29</v>
      </c>
      <c r="C30" t="inlineStr" s="4">
        <is>
          <t>УФ</t>
        </is>
      </c>
      <c r="D30" t="inlineStr" s="4">
        <is>
          <t>созвон с собствеником Фад Денисом Сергеевичем -Урс- необходима помощь в настройке программы СБИС и интересует отчет ОДДС, есть первичник и бухгалтер, есть экономист, программу поддерживает программист</t>
        </is>
      </c>
      <c r="E30" s="6">
        <v>1</v>
      </c>
      <c r="F30" s="7">
        <v>0</v>
      </c>
    </row>
    <row r="31">
      <c r="A31" t="inlineStr" s="4">
        <is>
          <t>06.04.2026</t>
        </is>
      </c>
      <c r="B31" s="5">
        <v>30</v>
      </c>
      <c r="C31" t="inlineStr" s="4">
        <is>
          <t>УФ</t>
        </is>
      </c>
      <c r="D31" t="inlineStr" s="4">
        <is>
          <t>УС насторойка удаленного рабочего места</t>
        </is>
      </c>
      <c r="E31" s="6">
        <v>0.166666666667</v>
      </c>
      <c r="F31" s="7">
        <v>0</v>
      </c>
    </row>
    <row r="32">
      <c r="A32" t="inlineStr" s="4">
        <is>
          <t>06.04.2026</t>
        </is>
      </c>
      <c r="B32" s="5">
        <v>31</v>
      </c>
      <c r="C32" t="inlineStr" s="4">
        <is>
          <t>УФ</t>
        </is>
      </c>
      <c r="D32" t="inlineStr" s="4">
        <is>
          <t>УС- изучение базы, отчетов , настоек</t>
        </is>
      </c>
      <c r="E32" s="6">
        <v>1</v>
      </c>
      <c r="F32" s="7">
        <v>0</v>
      </c>
    </row>
    <row r="33">
      <c r="A33" t="inlineStr" s="4">
        <is>
          <t>06.04.2026</t>
        </is>
      </c>
      <c r="B33" s="5">
        <v>32</v>
      </c>
      <c r="C33" t="inlineStr" s="4">
        <is>
          <t>УФ</t>
        </is>
      </c>
      <c r="D33" t="inlineStr" s="4">
        <is>
          <t>УС Выгрузка банковской выписки и создание сводной таблица по статьям ДДС</t>
        </is>
      </c>
      <c r="E33" s="6">
        <v>1.333333333333</v>
      </c>
      <c r="F33" s="7">
        <v>0</v>
      </c>
    </row>
    <row r="34">
      <c r="A34" t="inlineStr" s="4">
        <is>
          <t>06.04.2026</t>
        </is>
      </c>
      <c r="B34" s="5">
        <v>33</v>
      </c>
      <c r="C34" t="inlineStr" s="4">
        <is>
          <t>УФ</t>
        </is>
      </c>
      <c r="D34" t="inlineStr" s="4">
        <is>
          <t>УС- Форма для платежного календаря на 2 квартал</t>
        </is>
      </c>
      <c r="E34" s="6">
        <v>0.916666666667</v>
      </c>
      <c r="F34" s="7">
        <v>0</v>
      </c>
    </row>
    <row r="35">
      <c r="A35" t="inlineStr" s="4">
        <is>
          <t>06.04.2026</t>
        </is>
      </c>
      <c r="B35" s="5">
        <v>34</v>
      </c>
      <c r="C35" t="inlineStr" s="4">
        <is>
          <t>УФ</t>
        </is>
      </c>
      <c r="D35" t="inlineStr" s="4">
        <is>
          <t>УС-Создание справочника по статьям ДДС</t>
        </is>
      </c>
      <c r="E35" s="6">
        <v>0.666666666667</v>
      </c>
      <c r="F35" s="7">
        <v>0</v>
      </c>
    </row>
    <row r="36">
      <c r="A36" t="inlineStr" s="4">
        <is>
          <t>06.04.2026</t>
        </is>
      </c>
      <c r="B36" s="5">
        <v>35</v>
      </c>
      <c r="C36" t="inlineStr" s="4">
        <is>
          <t>УФ</t>
        </is>
      </c>
      <c r="D36" t="inlineStr" s="4">
        <is>
          <t>УС созвон с глав.бухом есть ли справочник в программе</t>
        </is>
      </c>
      <c r="E36" s="6">
        <v>0.033333333333</v>
      </c>
      <c r="F36" s="7">
        <v>0</v>
      </c>
    </row>
    <row r="37">
      <c r="A37" t="inlineStr" s="4">
        <is>
          <t>06.04.2026</t>
        </is>
      </c>
      <c r="B37" s="5">
        <v>36</v>
      </c>
      <c r="C37" t="inlineStr" s="4">
        <is>
          <t>Рем</t>
        </is>
      </c>
      <c r="D37" t="inlineStr" s="4">
        <is>
          <t>проверка чата в течении дня, внесение данных в платежный календарь</t>
        </is>
      </c>
      <c r="E37" s="6">
        <v>1</v>
      </c>
      <c r="F37" s="7">
        <v>2000</v>
      </c>
    </row>
    <row r="38">
      <c r="A38" t="inlineStr" s="4">
        <is>
          <t>07.04.2026</t>
        </is>
      </c>
      <c r="B38" s="5">
        <v>37</v>
      </c>
      <c r="C38" t="inlineStr" s="4">
        <is>
          <t>Рем</t>
        </is>
      </c>
      <c r="D38" t="inlineStr" s="4">
        <is>
          <t>проверка чата</t>
        </is>
      </c>
      <c r="E38" s="6">
        <v>0.25</v>
      </c>
      <c r="F38" s="7">
        <v>500.000000000001</v>
      </c>
    </row>
    <row r="39">
      <c r="A39" t="inlineStr" s="4">
        <is>
          <t>07.04.2026</t>
        </is>
      </c>
      <c r="B39" s="5">
        <v>38</v>
      </c>
      <c r="C39" t="inlineStr" s="4">
        <is>
          <t>УФ</t>
        </is>
      </c>
      <c r="D39" t="inlineStr" s="4">
        <is>
          <t>УС справочник статьей ДДС ,заполнение на основании информации от гл.бух</t>
        </is>
      </c>
      <c r="E39" s="6">
        <v>1</v>
      </c>
      <c r="F39" s="7">
        <v>0</v>
      </c>
    </row>
    <row r="40">
      <c r="A40" t="inlineStr" s="4">
        <is>
          <t>07.04.2026</t>
        </is>
      </c>
      <c r="B40" s="5">
        <v>39</v>
      </c>
      <c r="C40" t="inlineStr" s="4">
        <is>
          <t>Рем</t>
        </is>
      </c>
      <c r="D40" t="inlineStr" s="4">
        <is>
          <t>Созвон Б Игорь Степанович</t>
        </is>
      </c>
      <c r="E40" s="6">
        <v>0.333333333333</v>
      </c>
      <c r="F40" s="7">
        <v>666.666666666667</v>
      </c>
    </row>
    <row r="41">
      <c r="A41" t="inlineStr" s="4">
        <is>
          <t>07.04.2026</t>
        </is>
      </c>
      <c r="B41" s="5">
        <v>40</v>
      </c>
      <c r="C41" t="inlineStr" s="4">
        <is>
          <t>УФ</t>
        </is>
      </c>
      <c r="D41" t="inlineStr" s="4">
        <is>
          <t>УС созвон с Мариной -справочник статьей ДДС , уточненние наименований статей</t>
        </is>
      </c>
      <c r="E41" s="6">
        <v>1.066666666667</v>
      </c>
      <c r="F41" s="7">
        <v>0</v>
      </c>
    </row>
    <row r="42">
      <c r="A42" t="inlineStr" s="4">
        <is>
          <t>07.04.2026</t>
        </is>
      </c>
      <c r="B42" s="5">
        <v>41</v>
      </c>
      <c r="C42" t="inlineStr" s="4">
        <is>
          <t>Рем</t>
        </is>
      </c>
      <c r="D42" t="inlineStr" s="4">
        <is>
          <t>Созвон В Ирина, создание в платежном календаре листа реестр платежей</t>
        </is>
      </c>
      <c r="E42" s="6">
        <v>1.25</v>
      </c>
      <c r="F42" s="7">
        <v>2500</v>
      </c>
    </row>
    <row r="43">
      <c r="A43" t="inlineStr" s="4">
        <is>
          <t>07.04.2026</t>
        </is>
      </c>
      <c r="B43" s="5">
        <v>42</v>
      </c>
      <c r="C43" t="inlineStr" s="4">
        <is>
          <t>Рем</t>
        </is>
      </c>
      <c r="D43" t="inlineStr" s="4">
        <is>
          <t>проверка чата</t>
        </is>
      </c>
      <c r="E43" s="6">
        <v>0.25</v>
      </c>
      <c r="F43" s="7">
        <v>500.000000000004</v>
      </c>
    </row>
    <row r="44">
      <c r="A44" t="inlineStr" s="4">
        <is>
          <t>07.04.2026</t>
        </is>
      </c>
      <c r="B44" s="5">
        <v>43</v>
      </c>
      <c r="C44" t="inlineStr" s="4">
        <is>
          <t>УФ</t>
        </is>
      </c>
      <c r="D44" t="inlineStr" s="4">
        <is>
          <t>УС созвон с гл. бухгалтером УФ- обсуждение справочника статей</t>
        </is>
      </c>
      <c r="E44" s="6">
        <v>0.416666666667</v>
      </c>
      <c r="F44" s="7">
        <v>0</v>
      </c>
    </row>
    <row r="45">
      <c r="A45" t="inlineStr" s="4">
        <is>
          <t>07.04.2026</t>
        </is>
      </c>
      <c r="B45" s="5">
        <v>44</v>
      </c>
      <c r="C45" t="inlineStr" s="4">
        <is>
          <t>Рем</t>
        </is>
      </c>
      <c r="D45" t="inlineStr" s="4">
        <is>
          <t>созвон с бухгалтером УФ, задача поставленна Б Игорь Степанович</t>
        </is>
      </c>
      <c r="E45" s="6">
        <v>0.25</v>
      </c>
      <c r="F45" s="7">
        <v>500.000000000004</v>
      </c>
    </row>
    <row r="46">
      <c r="A46" t="inlineStr" s="4">
        <is>
          <t>07.04.2026</t>
        </is>
      </c>
      <c r="B46" s="5">
        <v>45</v>
      </c>
      <c r="C46" t="inlineStr" s="4">
        <is>
          <t>Рем</t>
        </is>
      </c>
      <c r="D46" t="inlineStr" s="4">
        <is>
          <t>запрос у первичника банковских сумм по кредитам</t>
        </is>
      </c>
      <c r="E46" s="6">
        <v>0.25</v>
      </c>
      <c r="F46" s="7">
        <v>499.999999999998</v>
      </c>
    </row>
    <row r="47">
      <c r="A47" t="inlineStr" s="4">
        <is>
          <t>07.04.2026</t>
        </is>
      </c>
      <c r="B47" s="5">
        <v>46</v>
      </c>
      <c r="C47" t="inlineStr" s="4">
        <is>
          <t>УФ</t>
        </is>
      </c>
      <c r="D47" t="inlineStr" s="4">
        <is>
          <t>запрос задолженности по оплатам УФ от компаний РК, НСС, НЖС и отправка Рему</t>
        </is>
      </c>
      <c r="E47" s="6">
        <v>0.5</v>
      </c>
      <c r="F47" s="7">
        <v>0</v>
      </c>
    </row>
    <row r="48">
      <c r="A48" t="inlineStr" s="4">
        <is>
          <t>07.04.2026</t>
        </is>
      </c>
      <c r="B48" s="5">
        <v>47</v>
      </c>
      <c r="C48" t="inlineStr" s="4">
        <is>
          <t>УФ</t>
        </is>
      </c>
      <c r="D48" t="inlineStr" s="4">
        <is>
          <t>УС, переделала форму ПК по согласованию с собственником</t>
        </is>
      </c>
      <c r="E48" s="6">
        <v>0.5</v>
      </c>
      <c r="F48" s="7">
        <v>0</v>
      </c>
    </row>
    <row r="49">
      <c r="A49" t="inlineStr" s="4">
        <is>
          <t>07.04.2026</t>
        </is>
      </c>
      <c r="B49" s="5">
        <v>48</v>
      </c>
      <c r="C49" t="inlineStr" s="4">
        <is>
          <t>УФ</t>
        </is>
      </c>
      <c r="D49" t="inlineStr" s="4">
        <is>
          <t>УС, сделала справочник ДДС, предварительно согласовав с собстенником, для ознакомления бухгалтерам</t>
        </is>
      </c>
      <c r="E49" s="6">
        <v>1</v>
      </c>
      <c r="F49" s="7">
        <v>0</v>
      </c>
    </row>
    <row r="50">
      <c r="A50" t="inlineStr" s="4">
        <is>
          <t>08.04.2026</t>
        </is>
      </c>
      <c r="B50" s="5">
        <v>49</v>
      </c>
      <c r="C50" t="inlineStr" s="4">
        <is>
          <t>Рем</t>
        </is>
      </c>
      <c r="D50" t="inlineStr" s="4">
        <is>
          <t>проверка чата Рем,</t>
        </is>
      </c>
      <c r="E50" s="6">
        <v>1</v>
      </c>
      <c r="F50" s="7">
        <v>2000</v>
      </c>
    </row>
    <row r="51">
      <c r="A51" t="inlineStr" s="4">
        <is>
          <t>08.04.2026</t>
        </is>
      </c>
      <c r="B51" s="5">
        <v>50</v>
      </c>
      <c r="C51" t="inlineStr" s="4">
        <is>
          <t>Рем</t>
        </is>
      </c>
      <c r="D51" t="inlineStr" s="4">
        <is>
          <t>Платежный календарь, настройка реестра платежей и данных с диодока с Рем</t>
        </is>
      </c>
      <c r="E51" s="6">
        <v>1.5</v>
      </c>
      <c r="F51" s="7">
        <v>3000</v>
      </c>
    </row>
    <row r="52">
      <c r="A52" t="inlineStr" s="4">
        <is>
          <t>07.04.2026</t>
        </is>
      </c>
      <c r="B52" s="5">
        <v>51</v>
      </c>
      <c r="C52" t="inlineStr" s="4">
        <is>
          <t>УФ</t>
        </is>
      </c>
      <c r="D52" t="inlineStr" s="4">
        <is>
          <t>УС- главный бухгалтер посмотрела справочник ДДС - "вроде ок, передам первичнику"</t>
        </is>
      </c>
      <c r="E52" s="6">
        <v>0.333333333333</v>
      </c>
      <c r="F52" s="7">
        <v>0</v>
      </c>
    </row>
    <row r="53">
      <c r="A53" t="inlineStr" s="4">
        <is>
          <t>08.04.2026</t>
        </is>
      </c>
      <c r="B53" s="5">
        <v>52</v>
      </c>
      <c r="C53" t="inlineStr" s="4">
        <is>
          <t>Рем</t>
        </is>
      </c>
      <c r="D53" t="inlineStr" s="4">
        <is>
          <t>Платежный календарь, настройка реестра платежей и данных с диодока с Рем</t>
        </is>
      </c>
      <c r="E53" s="6">
        <v>1.5</v>
      </c>
      <c r="F53" s="7">
        <v>3000</v>
      </c>
    </row>
    <row r="54">
      <c r="A54" t="inlineStr" s="4">
        <is>
          <t>08.04.2026</t>
        </is>
      </c>
      <c r="B54" s="5">
        <v>53</v>
      </c>
      <c r="C54" t="inlineStr" s="4">
        <is>
          <t>Рем</t>
        </is>
      </c>
      <c r="D54" t="inlineStr" s="4">
        <is>
          <t>проверка чатов, по письму разнесение договора займа между организациями</t>
        </is>
      </c>
      <c r="E54" s="6">
        <v>0.166666666667</v>
      </c>
      <c r="F54" s="7">
        <v>333.333333333332</v>
      </c>
    </row>
    <row r="55">
      <c r="A55" t="inlineStr" s="4">
        <is>
          <t>08.04.2026</t>
        </is>
      </c>
      <c r="B55" s="5">
        <v>54</v>
      </c>
      <c r="C55" t="inlineStr" s="4">
        <is>
          <t>Рем</t>
        </is>
      </c>
      <c r="D55" t="inlineStr" s="4">
        <is>
          <t>Платежный календарь, настройка реестра платежей и данных с диодока с Уф</t>
        </is>
      </c>
      <c r="E55" s="6">
        <v>0.5</v>
      </c>
      <c r="F55" s="7">
        <v>999.999999999996</v>
      </c>
    </row>
    <row r="56">
      <c r="A56" t="inlineStr" s="4">
        <is>
          <t>08.04.2026</t>
        </is>
      </c>
      <c r="B56" s="5">
        <v>55</v>
      </c>
      <c r="C56" t="inlineStr" s="4">
        <is>
          <t>Рем</t>
        </is>
      </c>
      <c r="D56" t="inlineStr" s="4">
        <is>
          <t>проверка чата, на созданые оплаты</t>
        </is>
      </c>
      <c r="E56" s="6">
        <v>0.5</v>
      </c>
      <c r="F56" s="7">
        <v>1000</v>
      </c>
    </row>
    <row r="57">
      <c r="A57" t="inlineStr" s="4">
        <is>
          <t>09.04.2026</t>
        </is>
      </c>
      <c r="B57" s="5">
        <v>56</v>
      </c>
      <c r="C57" t="inlineStr" s="4">
        <is>
          <t>Рем</t>
        </is>
      </c>
      <c r="D57" t="inlineStr" s="4">
        <is>
          <t>отправка ответа собственнику, ранее была поставлена задача бухгалтерии по налогам</t>
        </is>
      </c>
      <c r="E57" s="6">
        <v>0.333333333333</v>
      </c>
      <c r="F57" s="7">
        <v>666.666666666667</v>
      </c>
    </row>
    <row r="58">
      <c r="A58" t="inlineStr" s="4">
        <is>
          <t>09.04.2026</t>
        </is>
      </c>
      <c r="B58" s="5">
        <v>57</v>
      </c>
      <c r="C58" t="inlineStr" s="4">
        <is>
          <t>УФ</t>
        </is>
      </c>
      <c r="D58" t="inlineStr" s="4">
        <is>
          <t>Урс -сбор данных для работы с клиентом, (пожелания и запрос) по предыдущим звонкам</t>
        </is>
      </c>
      <c r="E58" s="6">
        <v>0.833333333333</v>
      </c>
      <c r="F58" s="7">
        <v>0</v>
      </c>
    </row>
    <row r="59">
      <c r="A59" t="inlineStr" s="4">
        <is>
          <t>09.04.2026</t>
        </is>
      </c>
      <c r="B59" s="5">
        <v>58</v>
      </c>
      <c r="C59" t="inlineStr" s="4">
        <is>
          <t>УФ</t>
        </is>
      </c>
      <c r="D59" t="inlineStr" s="4">
        <is>
          <t>коммерческое предложение для компании Арни</t>
        </is>
      </c>
      <c r="E59" s="6">
        <v>0.5</v>
      </c>
      <c r="F59" s="7">
        <v>0</v>
      </c>
    </row>
    <row r="60">
      <c r="A60" t="inlineStr" s="4">
        <is>
          <t>09.04.2026</t>
        </is>
      </c>
      <c r="B60" s="5">
        <v>59</v>
      </c>
      <c r="C60" t="inlineStr" s="4">
        <is>
          <t>УФ</t>
        </is>
      </c>
      <c r="D60" t="inlineStr" s="4">
        <is>
          <t>УС- платежный календарь с согласованными статьями от бухгалтерии</t>
        </is>
      </c>
      <c r="E60" s="6">
        <v>0.666666666667</v>
      </c>
      <c r="F60" s="7">
        <v>0</v>
      </c>
    </row>
    <row r="61">
      <c r="A61" t="inlineStr" s="4">
        <is>
          <t>09.04.2026</t>
        </is>
      </c>
      <c r="B61" s="5">
        <v>60</v>
      </c>
      <c r="C61" t="inlineStr" s="4">
        <is>
          <t>Рем</t>
        </is>
      </c>
      <c r="D61" t="inlineStr" s="4">
        <is>
          <t>Созвон с Ириной В.- договора аренда , задолжности</t>
        </is>
      </c>
      <c r="E61" s="6">
        <v>1</v>
      </c>
      <c r="F61" s="7">
        <v>2000</v>
      </c>
    </row>
    <row r="62">
      <c r="A62" t="inlineStr" s="4">
        <is>
          <t>09.04.2026</t>
        </is>
      </c>
      <c r="B62" s="5">
        <v>61</v>
      </c>
      <c r="C62" t="inlineStr" s="4">
        <is>
          <t>Рем</t>
        </is>
      </c>
      <c r="D62" t="inlineStr" s="4">
        <is>
          <t>Созвон с Ириной В.- платежный календарь проверка, сумм к оплате</t>
        </is>
      </c>
      <c r="E62" s="6">
        <v>0.666666666667</v>
      </c>
      <c r="F62" s="7">
        <v>1333.33333333333</v>
      </c>
    </row>
    <row r="63">
      <c r="A63" t="inlineStr" s="4">
        <is>
          <t>09.04.2026</t>
        </is>
      </c>
      <c r="B63" s="5">
        <v>62</v>
      </c>
      <c r="C63" t="inlineStr" s="4">
        <is>
          <t>Рем</t>
        </is>
      </c>
      <c r="D63" t="inlineStr" s="4">
        <is>
          <t>Решаем вопрос с диадоком, не все суммы отражаются в программе</t>
        </is>
      </c>
      <c r="E63" s="6">
        <v>0.5</v>
      </c>
      <c r="F63" s="7">
        <v>999.999999999996</v>
      </c>
    </row>
    <row r="64">
      <c r="A64" t="inlineStr" s="4">
        <is>
          <t>09.04.2026</t>
        </is>
      </c>
      <c r="B64" s="5">
        <v>63</v>
      </c>
      <c r="C64" t="inlineStr" s="4">
        <is>
          <t>Рем</t>
        </is>
      </c>
      <c r="D64" t="inlineStr" s="4">
        <is>
          <t>проверка чата, проверка оплат</t>
        </is>
      </c>
      <c r="E64" s="6">
        <v>0.5</v>
      </c>
      <c r="F64" s="7">
        <v>999.999999999996</v>
      </c>
    </row>
    <row r="65">
      <c r="A65" t="inlineStr" s="4">
        <is>
          <t>09.04.2026</t>
        </is>
      </c>
      <c r="B65" s="5">
        <v>64</v>
      </c>
      <c r="C65" t="inlineStr" s="4">
        <is>
          <t>Рем</t>
        </is>
      </c>
      <c r="D65" t="inlineStr" s="4">
        <is>
          <t>Платежный календарь с бухгалтером, реквизиты и счета</t>
        </is>
      </c>
      <c r="E65" s="6">
        <v>0.5</v>
      </c>
      <c r="F65" s="7">
        <v>999.999999999996</v>
      </c>
    </row>
    <row r="66">
      <c r="A66" t="inlineStr" s="4">
        <is>
          <t>13.04.2026</t>
        </is>
      </c>
      <c r="B66" s="5">
        <v>65</v>
      </c>
      <c r="C66" t="inlineStr" s="4">
        <is>
          <t>Рем</t>
        </is>
      </c>
      <c r="D66" t="inlineStr" s="4">
        <is>
          <t>Проверка чата (счета на оплату)</t>
        </is>
      </c>
      <c r="E66" s="6">
        <v>0.333333333333</v>
      </c>
      <c r="F66" s="7">
        <v>666.666666666667</v>
      </c>
    </row>
    <row r="67">
      <c r="A67" t="inlineStr" s="4">
        <is>
          <t>13.04.2026</t>
        </is>
      </c>
      <c r="B67" s="5">
        <v>66</v>
      </c>
      <c r="C67" t="inlineStr" s="4">
        <is>
          <t>УФ</t>
        </is>
      </c>
      <c r="D67" t="inlineStr" s="4">
        <is>
          <t>УС, ТД УРС -проверка чатов</t>
        </is>
      </c>
      <c r="E67" s="6">
        <v>0.416666666667</v>
      </c>
      <c r="F67" s="7">
        <v>0</v>
      </c>
    </row>
    <row r="68">
      <c r="A68" t="inlineStr" s="4">
        <is>
          <t>13.04.2026</t>
        </is>
      </c>
      <c r="B68" s="5">
        <v>67</v>
      </c>
      <c r="C68" t="inlineStr" s="4">
        <is>
          <t>УФ</t>
        </is>
      </c>
      <c r="D68" t="inlineStr" s="4">
        <is>
          <t>УС попытка дозвниться до клиента- битрикс (Отсутствует соединение с сервером)</t>
        </is>
      </c>
      <c r="E68" s="6">
        <v>0.416666666667</v>
      </c>
      <c r="F68" s="7">
        <v>0</v>
      </c>
    </row>
    <row r="69">
      <c r="A69" t="inlineStr" s="4">
        <is>
          <t>13.04.2026</t>
        </is>
      </c>
      <c r="B69" s="5">
        <v>68</v>
      </c>
      <c r="C69" t="inlineStr" s="4">
        <is>
          <t>УФ</t>
        </is>
      </c>
      <c r="D69" t="inlineStr" s="4">
        <is>
          <t>УС -перенесли встречу на понедельнк (Макс)</t>
        </is>
      </c>
      <c r="E69" s="6">
        <v>0.166666666667</v>
      </c>
      <c r="F69" s="7">
        <v>0</v>
      </c>
    </row>
    <row r="70">
      <c r="A70" t="inlineStr" s="4">
        <is>
          <t>13.04.2026</t>
        </is>
      </c>
      <c r="B70" s="5">
        <v>69</v>
      </c>
      <c r="C70" t="inlineStr" s="4">
        <is>
          <t>Рем</t>
        </is>
      </c>
      <c r="D70" t="inlineStr" s="4">
        <is>
          <t>Созвон с Ириной В.</t>
        </is>
      </c>
      <c r="E70" s="6">
        <v>0.5</v>
      </c>
      <c r="F70" s="7">
        <v>1000</v>
      </c>
    </row>
    <row r="71">
      <c r="A71" t="inlineStr" s="4">
        <is>
          <t>13.04.2026</t>
        </is>
      </c>
      <c r="B71" s="5">
        <v>70</v>
      </c>
      <c r="C71" t="inlineStr" s="4">
        <is>
          <t>Рем</t>
        </is>
      </c>
      <c r="D71" t="inlineStr" s="4">
        <is>
          <t>Проверка платежного календаря, бухгалтер при внесение счета на оплату отмечает цветом</t>
        </is>
      </c>
      <c r="E71" s="6">
        <v>0.5</v>
      </c>
      <c r="F71" s="7">
        <v>999.999999999999</v>
      </c>
    </row>
    <row r="72">
      <c r="A72" t="inlineStr" s="4">
        <is>
          <t>13.04.2026</t>
        </is>
      </c>
      <c r="B72" s="5">
        <v>71</v>
      </c>
      <c r="C72" t="inlineStr" s="4">
        <is>
          <t>Рем</t>
        </is>
      </c>
      <c r="D72" t="inlineStr" s="4">
        <is>
          <t>Проверка чата (счета на оплату)</t>
        </is>
      </c>
      <c r="E72" s="6">
        <v>0.5</v>
      </c>
      <c r="F72" s="7">
        <v>999.999999999996</v>
      </c>
    </row>
    <row r="73">
      <c r="A73" t="inlineStr" s="4">
        <is>
          <t>13.04.2026</t>
        </is>
      </c>
      <c r="B73" s="5">
        <v>72</v>
      </c>
      <c r="C73" t="inlineStr" s="4">
        <is>
          <t>Рем</t>
        </is>
      </c>
      <c r="D73" t="inlineStr" s="4">
        <is>
          <t>Созвон с Ириной В. организация работы в платежном календаре</t>
        </is>
      </c>
      <c r="E73" s="6">
        <v>0.25</v>
      </c>
      <c r="F73" s="7">
        <v>500.000000000004</v>
      </c>
    </row>
    <row r="74">
      <c r="A74" t="inlineStr" s="4">
        <is>
          <t>13.04.2026</t>
        </is>
      </c>
      <c r="B74" s="5">
        <v>73</v>
      </c>
      <c r="C74" t="inlineStr" s="4">
        <is>
          <t>Рем</t>
        </is>
      </c>
      <c r="D74" t="inlineStr" s="4">
        <is>
          <t>Проверка чата переписка по договорам займа</t>
        </is>
      </c>
      <c r="E74" s="6">
        <v>0.25</v>
      </c>
      <c r="F74" s="7">
        <v>499.999999999998</v>
      </c>
    </row>
    <row r="75">
      <c r="A75" t="inlineStr" s="4">
        <is>
          <t>13.04.2026</t>
        </is>
      </c>
      <c r="B75" s="5">
        <v>74</v>
      </c>
      <c r="C75" t="inlineStr" s="4">
        <is>
          <t>Рем</t>
        </is>
      </c>
      <c r="D75" t="inlineStr" s="4">
        <is>
          <t>Созвон с Александрой платежки в банк</t>
        </is>
      </c>
      <c r="E75" s="6">
        <v>1</v>
      </c>
      <c r="F75" s="7">
        <v>2000</v>
      </c>
    </row>
    <row r="76">
      <c r="A76" t="inlineStr" s="4">
        <is>
          <t>13.04.2026</t>
        </is>
      </c>
      <c r="B76" s="5">
        <v>75</v>
      </c>
      <c r="C76" t="inlineStr" s="4">
        <is>
          <t>Рем</t>
        </is>
      </c>
      <c r="D76" t="inlineStr" s="4">
        <is>
          <t>Проверка чата</t>
        </is>
      </c>
      <c r="E76" s="6">
        <v>0.666666666667</v>
      </c>
      <c r="F76" s="7">
        <v>1333.33333333333</v>
      </c>
    </row>
    <row r="77">
      <c r="A77" t="inlineStr" s="4">
        <is>
          <t>13.04.2026</t>
        </is>
      </c>
      <c r="B77" s="5">
        <v>76</v>
      </c>
      <c r="C77" t="inlineStr" s="4">
        <is>
          <t>Рем</t>
        </is>
      </c>
      <c r="D77" t="inlineStr" s="4">
        <is>
          <t>Созвон с Ириной В. организация работы в платежном календаре, документы в диадоке (архив от бухгалтерии)</t>
        </is>
      </c>
      <c r="E77" s="6">
        <v>0.5</v>
      </c>
      <c r="F77" s="7">
        <v>999.999999999999</v>
      </c>
    </row>
    <row r="78">
      <c r="A78" t="inlineStr" s="4">
        <is>
          <t>13.04.2026</t>
        </is>
      </c>
      <c r="B78" s="5">
        <v>77</v>
      </c>
      <c r="C78" t="inlineStr" s="4">
        <is>
          <t>Рем</t>
        </is>
      </c>
      <c r="D78" t="inlineStr" s="4">
        <is>
          <t>проверка чата, банковские выписки -как применить в реестре платежей</t>
        </is>
      </c>
      <c r="E78" s="6">
        <v>1</v>
      </c>
      <c r="F78" s="7">
        <v>2000</v>
      </c>
    </row>
    <row r="79">
      <c r="A79" t="inlineStr" s="4">
        <is>
          <t>13.04.2026</t>
        </is>
      </c>
      <c r="B79" s="5">
        <v>78</v>
      </c>
      <c r="C79" t="inlineStr" s="4">
        <is>
          <t>УФ</t>
        </is>
      </c>
      <c r="D79" t="inlineStr" s="4">
        <is>
          <t>Уралсувернир- созвон, создать общую таблицу на яндекс диске (Марина), Я к 16.04.2026 факт за апрель, предварительный план на май</t>
        </is>
      </c>
      <c r="E79" s="6">
        <v>0.416666666667</v>
      </c>
      <c r="F79" s="7">
        <v>0</v>
      </c>
    </row>
    <row r="80">
      <c r="A80" t="inlineStr" s="4">
        <is>
          <t>13.04.2026</t>
        </is>
      </c>
      <c r="B80" s="5">
        <v>79</v>
      </c>
      <c r="C80" t="inlineStr" s="4">
        <is>
          <t>УФ</t>
        </is>
      </c>
      <c r="D80" t="inlineStr" s="4">
        <is>
          <t>УС работа с программой, как закрыли год, сколько налички в кассе</t>
        </is>
      </c>
      <c r="E80" s="6">
        <v>0.5</v>
      </c>
      <c r="F80" s="7">
        <v>0</v>
      </c>
    </row>
    <row r="81">
      <c r="A81" t="inlineStr" s="4">
        <is>
          <t>13.04.2026</t>
        </is>
      </c>
      <c r="B81" s="5">
        <v>80</v>
      </c>
      <c r="C81" t="inlineStr" s="4">
        <is>
          <t>Рем</t>
        </is>
      </c>
      <c r="D81" t="inlineStr" s="4">
        <is>
          <t>проверка чата, оплата за предыдущую неделю</t>
        </is>
      </c>
      <c r="E81" s="6">
        <v>0.5</v>
      </c>
      <c r="F81" s="7">
        <v>999.999999999996</v>
      </c>
    </row>
    <row r="82">
      <c r="A82" t="inlineStr" s="4">
        <is>
          <t>13.04.2026</t>
        </is>
      </c>
      <c r="B82" s="5">
        <v>81</v>
      </c>
      <c r="C82" t="inlineStr" s="4">
        <is>
          <t>УФ</t>
        </is>
      </c>
      <c r="D82" t="inlineStr" s="4">
        <is>
          <t>Собрание финансистов</t>
        </is>
      </c>
      <c r="E82" s="6">
        <v>0</v>
      </c>
      <c r="F82" s="7">
        <v>0</v>
      </c>
    </row>
    <row r="83">
      <c r="A83" t="inlineStr" s="4">
        <is>
          <t>13.04.2026</t>
        </is>
      </c>
      <c r="B83" s="5">
        <v>82</v>
      </c>
      <c r="C83" t="inlineStr" s="4">
        <is>
          <t>УФ</t>
        </is>
      </c>
      <c r="D83" t="inlineStr" s="4">
        <is>
          <t>УС -настойка на яндекс диске, платежного календаря, проверка доступа, инструкция по созданию</t>
        </is>
      </c>
      <c r="E83" s="6">
        <v>0.5</v>
      </c>
      <c r="F83" s="7">
        <v>0</v>
      </c>
    </row>
    <row r="84">
      <c r="A84" t="inlineStr" s="4">
        <is>
          <t>13.04.2026</t>
        </is>
      </c>
      <c r="B84" s="5">
        <v>83</v>
      </c>
      <c r="C84" t="inlineStr" s="4">
        <is>
          <t>УФ</t>
        </is>
      </c>
      <c r="D84" t="inlineStr" s="4">
        <is>
          <t>УС -ПК- добавление 50 счета, суммы и таблица</t>
        </is>
      </c>
      <c r="E84" s="6">
        <v>0.5</v>
      </c>
      <c r="F84" s="7">
        <v>0</v>
      </c>
    </row>
    <row r="85">
      <c r="A85" t="inlineStr" s="4">
        <is>
          <t>13.04.2026</t>
        </is>
      </c>
      <c r="B85" s="5">
        <v>84</v>
      </c>
      <c r="C85" t="inlineStr" s="4">
        <is>
          <t>УФ</t>
        </is>
      </c>
      <c r="D85" t="inlineStr" s="4">
        <is>
          <t>Созвон по продукту с отделом продаж</t>
        </is>
      </c>
      <c r="E85" s="6">
        <v>1</v>
      </c>
      <c r="F85" s="7">
        <v>0</v>
      </c>
    </row>
    <row r="86">
      <c r="A86" t="inlineStr" s="4">
        <is>
          <t>14.04.2026</t>
        </is>
      </c>
      <c r="B86" s="5">
        <v>85</v>
      </c>
      <c r="C86" t="inlineStr" s="4">
        <is>
          <t>Рем</t>
        </is>
      </c>
      <c r="D86" t="inlineStr" s="4">
        <is>
          <t>проверка чата,согласование заведения новых займов, налоговые риски</t>
        </is>
      </c>
      <c r="E86" s="6">
        <v>1.333333333333</v>
      </c>
      <c r="F86" s="7">
        <v>2666.66666666667</v>
      </c>
    </row>
    <row r="87">
      <c r="A87" t="inlineStr" s="4">
        <is>
          <t>14.04.2026</t>
        </is>
      </c>
      <c r="B87" s="5">
        <v>86</v>
      </c>
      <c r="C87" t="inlineStr" s="4">
        <is>
          <t>УФ</t>
        </is>
      </c>
      <c r="D87" t="inlineStr" s="4">
        <is>
          <t>УС -ПК- факт апрель 2026 ,уточнение по контрагентам, сводная по статьям</t>
        </is>
      </c>
      <c r="E87" s="6">
        <v>2.166666666667</v>
      </c>
      <c r="F87" s="7">
        <v>0</v>
      </c>
    </row>
    <row r="88">
      <c r="A88" t="inlineStr" s="4">
        <is>
          <t>14.04.2026</t>
        </is>
      </c>
      <c r="B88" s="5">
        <v>87</v>
      </c>
      <c r="C88" t="inlineStr" s="4">
        <is>
          <t>Рем</t>
        </is>
      </c>
      <c r="D88" t="inlineStr" s="4">
        <is>
          <t>Созвон с Ириной- новые договора и возможности разнесения рееста</t>
        </is>
      </c>
      <c r="E88" s="6">
        <v>0.5</v>
      </c>
      <c r="F88" s="7">
        <v>1000</v>
      </c>
    </row>
    <row r="89">
      <c r="A89" t="inlineStr" s="4">
        <is>
          <t>14.04.2026</t>
        </is>
      </c>
      <c r="B89" s="5">
        <v>88</v>
      </c>
      <c r="C89" t="inlineStr" s="4">
        <is>
          <t>Рем</t>
        </is>
      </c>
      <c r="D89" t="inlineStr" s="4">
        <is>
          <t>проверка чата, отправленных и внесенных счетов.</t>
        </is>
      </c>
      <c r="E89" s="6">
        <v>0.5</v>
      </c>
      <c r="F89" s="7">
        <v>999.999999999996</v>
      </c>
    </row>
    <row r="90">
      <c r="A90" t="inlineStr" s="4">
        <is>
          <t>14.04.2026</t>
        </is>
      </c>
      <c r="B90" s="5">
        <v>89</v>
      </c>
      <c r="C90" t="inlineStr" s="4">
        <is>
          <t>УФ</t>
        </is>
      </c>
      <c r="D90" t="inlineStr" s="4">
        <is>
          <t>Созвон с руководителем</t>
        </is>
      </c>
      <c r="E90" s="6">
        <v>0.5</v>
      </c>
      <c r="F90" s="7">
        <v>0</v>
      </c>
    </row>
    <row r="91">
      <c r="A91" t="inlineStr" s="4">
        <is>
          <t>14.04.2026</t>
        </is>
      </c>
      <c r="B91" s="5">
        <v>90</v>
      </c>
      <c r="C91" t="inlineStr" s="4">
        <is>
          <t>Рем</t>
        </is>
      </c>
      <c r="D91" t="inlineStr" s="4">
        <is>
          <t>внесение договоров в таблицу, сверка с банком</t>
        </is>
      </c>
      <c r="E91" s="6">
        <v>0.666666666667</v>
      </c>
      <c r="F91" s="7">
        <v>1333.33333333333</v>
      </c>
    </row>
    <row r="92">
      <c r="A92" t="inlineStr" s="4">
        <is>
          <t>15.04.2026</t>
        </is>
      </c>
      <c r="B92" s="5">
        <v>91</v>
      </c>
      <c r="C92" t="inlineStr" s="4">
        <is>
          <t>УФ</t>
        </is>
      </c>
      <c r="D92" t="inlineStr" s="4">
        <is>
          <t>Обсуждение договоров и таблиц для Рема- с Людмилой + Ирина В.</t>
        </is>
      </c>
      <c r="E92" s="6">
        <v>2</v>
      </c>
      <c r="F92" s="7">
        <v>0</v>
      </c>
    </row>
    <row r="93">
      <c r="A93" t="inlineStr" s="4">
        <is>
          <t>15.04.2026</t>
        </is>
      </c>
      <c r="B93" s="5">
        <v>92</v>
      </c>
      <c r="C93" t="inlineStr" s="4">
        <is>
          <t>Рем</t>
        </is>
      </c>
      <c r="D93" t="inlineStr" s="4">
        <is>
          <t>внесения нового договора займа в 2 таблицы (свод и выдача и погашение)</t>
        </is>
      </c>
      <c r="E93" s="6">
        <v>0.416666666667</v>
      </c>
      <c r="F93" s="7">
        <v>833.333333333333</v>
      </c>
    </row>
    <row r="94">
      <c r="A94" t="inlineStr" s="4">
        <is>
          <t>15.04.2026</t>
        </is>
      </c>
      <c r="B94" s="5">
        <v>93</v>
      </c>
      <c r="C94" t="inlineStr" s="4">
        <is>
          <t>УФ</t>
        </is>
      </c>
      <c r="D94" t="inlineStr" s="4">
        <is>
          <t>Написала УС про ПК- пока без вопросов, все понятно</t>
        </is>
      </c>
      <c r="E94" s="6">
        <v>0.166666666667</v>
      </c>
      <c r="F94" s="7">
        <v>0</v>
      </c>
    </row>
    <row r="95">
      <c r="A95" t="inlineStr" s="4">
        <is>
          <t>15.04.2026</t>
        </is>
      </c>
      <c r="B95" s="5">
        <v>94</v>
      </c>
      <c r="C95" t="inlineStr" s="4">
        <is>
          <t>Рем</t>
        </is>
      </c>
      <c r="D95" t="inlineStr" s="4">
        <is>
          <t>проверка чата, файл реализация квартир</t>
        </is>
      </c>
      <c r="E95" s="6">
        <v>0.666666666667</v>
      </c>
      <c r="F95" s="7">
        <v>1333.33333333333</v>
      </c>
    </row>
    <row r="96">
      <c r="A96" t="inlineStr" s="4">
        <is>
          <t>15.04.2026</t>
        </is>
      </c>
      <c r="B96" s="5">
        <v>95</v>
      </c>
      <c r="C96" t="inlineStr" s="4">
        <is>
          <t>УФ</t>
        </is>
      </c>
      <c r="D96" t="inlineStr" s="4">
        <is>
          <t>УРС- переназначили встречу с директорм</t>
        </is>
      </c>
      <c r="E96" s="6">
        <v>0.166666666667</v>
      </c>
      <c r="F96" s="7">
        <v>0</v>
      </c>
    </row>
    <row r="97">
      <c r="A97" t="inlineStr" s="4">
        <is>
          <t>15.04.2026</t>
        </is>
      </c>
      <c r="B97" s="5">
        <v>96</v>
      </c>
      <c r="C97" t="inlineStr" s="4">
        <is>
          <t>УФ</t>
        </is>
      </c>
      <c r="D97" t="inlineStr" s="4">
        <is>
          <t>Таблица для бухгалтеров и разработка ехсел-файла для заполнения</t>
        </is>
      </c>
      <c r="E97" s="6">
        <v>1</v>
      </c>
      <c r="F97" s="7">
        <v>0</v>
      </c>
    </row>
    <row r="98">
      <c r="A98" t="inlineStr" s="4">
        <is>
          <t>15.04.2026</t>
        </is>
      </c>
      <c r="B98" s="5">
        <v>97</v>
      </c>
      <c r="C98" t="inlineStr" s="4">
        <is>
          <t>ИП С О.Е.</t>
        </is>
      </c>
      <c r="D98" t="inlineStr" s="4">
        <is>
          <t>Отчет за 2025 год, сбор данных из 1С, внесение в файл БДР ноябрь 2025</t>
        </is>
      </c>
      <c r="E98" s="6">
        <v>1.5</v>
      </c>
      <c r="F98" s="7">
        <v>3000</v>
      </c>
    </row>
    <row r="99">
      <c r="A99" t="inlineStr" s="4">
        <is>
          <t>15.04.2026</t>
        </is>
      </c>
      <c r="B99" s="5">
        <v>98</v>
      </c>
      <c r="C99" t="inlineStr" s="4">
        <is>
          <t>УФ</t>
        </is>
      </c>
      <c r="D99" t="inlineStr" s="4">
        <is>
          <t>Созвон с Людмилой обсуждение формы таблицы для бухгалтеров</t>
        </is>
      </c>
      <c r="E99" s="6">
        <v>0.5</v>
      </c>
      <c r="F99" s="7">
        <v>0</v>
      </c>
    </row>
    <row r="100">
      <c r="A100" t="inlineStr" s="4">
        <is>
          <t>15.04.2026</t>
        </is>
      </c>
      <c r="B100" s="5">
        <v>99</v>
      </c>
      <c r="C100" t="inlineStr" s="4">
        <is>
          <t>ИП С О.Е.</t>
        </is>
      </c>
      <c r="D100" t="inlineStr" s="4">
        <is>
          <t>Отчет за 2025 год, сбор данных из 1С, внесение в файл БДР декабрь 2025</t>
        </is>
      </c>
      <c r="E100" s="6">
        <v>1.5</v>
      </c>
      <c r="F100" s="7">
        <v>3000</v>
      </c>
    </row>
    <row r="101">
      <c r="A101" t="inlineStr" s="4">
        <is>
          <t>16.04.2026</t>
        </is>
      </c>
      <c r="B101" s="5">
        <v>100</v>
      </c>
      <c r="C101" t="inlineStr" s="4">
        <is>
          <t>Рем</t>
        </is>
      </c>
      <c r="D101" t="inlineStr" s="4">
        <is>
          <t>проверка чата</t>
        </is>
      </c>
      <c r="E101" s="6">
        <v>0.5</v>
      </c>
      <c r="F101" s="7">
        <v>1000</v>
      </c>
    </row>
    <row r="102">
      <c r="A102" t="inlineStr" s="4">
        <is>
          <t>16.04.2026</t>
        </is>
      </c>
      <c r="B102" s="5">
        <v>101</v>
      </c>
      <c r="C102" t="inlineStr" s="4">
        <is>
          <t>ИП С О.Е.</t>
        </is>
      </c>
      <c r="D102" t="inlineStr" s="4">
        <is>
          <t>проверка и корректировка остатков с июня 2025- не идет с программой</t>
        </is>
      </c>
      <c r="E102" s="6">
        <v>1</v>
      </c>
      <c r="F102" s="7">
        <v>2000</v>
      </c>
    </row>
    <row r="103">
      <c r="A103" t="inlineStr" s="4">
        <is>
          <t>16.04.2026</t>
        </is>
      </c>
      <c r="B103" s="5">
        <v>102</v>
      </c>
      <c r="C103" t="inlineStr" s="4">
        <is>
          <t>УФ</t>
        </is>
      </c>
      <c r="D103" t="inlineStr" s="4">
        <is>
          <t>УРС- созвон в битрекс</t>
        </is>
      </c>
      <c r="E103" s="6">
        <v>1.5</v>
      </c>
      <c r="F103" s="7">
        <v>0</v>
      </c>
    </row>
    <row r="104">
      <c r="A104" t="inlineStr" s="4">
        <is>
          <t>16.04.2026</t>
        </is>
      </c>
      <c r="B104" s="5">
        <v>103</v>
      </c>
      <c r="C104" t="inlineStr" s="4">
        <is>
          <t>ИП С С.П.</t>
        </is>
      </c>
      <c r="D104" t="inlineStr" s="4">
        <is>
          <t>ДДС за март 2026, сводная по статьям , проверка предыдущих периодов</t>
        </is>
      </c>
      <c r="E104" s="6">
        <v>1</v>
      </c>
      <c r="F104" s="7">
        <v>2000</v>
      </c>
    </row>
    <row r="105">
      <c r="A105" t="inlineStr" s="4">
        <is>
          <t>16.04.2026</t>
        </is>
      </c>
      <c r="B105" s="5">
        <v>104</v>
      </c>
      <c r="C105" t="inlineStr" s="4">
        <is>
          <t>ИП С С.П.</t>
        </is>
      </c>
      <c r="D105" t="inlineStr" s="4">
        <is>
          <t>ИП С С.П. +Св БДР+ ноябрь 2025</t>
        </is>
      </c>
      <c r="E105" s="6">
        <v>1.333333333333</v>
      </c>
      <c r="F105" s="7">
        <v>2666.66666666667</v>
      </c>
    </row>
    <row r="106">
      <c r="A106" t="inlineStr" s="4">
        <is>
          <t>16.04.2026</t>
        </is>
      </c>
      <c r="B106" s="5">
        <v>105</v>
      </c>
      <c r="C106" t="inlineStr" s="4">
        <is>
          <t>ИП С С.П.</t>
        </is>
      </c>
      <c r="D106" t="inlineStr" s="4">
        <is>
          <t>ИП С С.П. +Св БДР+ декабрь 2025</t>
        </is>
      </c>
      <c r="E106" s="6">
        <v>2.666666666667</v>
      </c>
      <c r="F106" s="7">
        <v>5333.33333333333</v>
      </c>
    </row>
    <row r="107">
      <c r="A107" t="inlineStr" s="4">
        <is>
          <t>17.04.2026</t>
        </is>
      </c>
      <c r="B107" s="5">
        <v>106</v>
      </c>
      <c r="C107" t="inlineStr" s="4">
        <is>
          <t>ИП С С.П.</t>
        </is>
      </c>
      <c r="D107" t="inlineStr" s="4">
        <is>
          <t>ИП С С.П. +Св БДР проверка баз</t>
        </is>
      </c>
      <c r="E107" s="6">
        <v>1</v>
      </c>
      <c r="F107" s="7">
        <v>2000</v>
      </c>
    </row>
    <row r="108">
      <c r="A108" t="inlineStr" s="4">
        <is>
          <t>17.04.2026</t>
        </is>
      </c>
      <c r="B108" s="5">
        <v>107</v>
      </c>
      <c r="C108" t="inlineStr" s="4">
        <is>
          <t>Рем</t>
        </is>
      </c>
      <c r="D108" t="inlineStr" s="4">
        <is>
          <t>Обсуждение регламента по реестру платжного календаря с Людмилой</t>
        </is>
      </c>
      <c r="E108" s="6">
        <v>0.666666666667</v>
      </c>
      <c r="F108" s="7">
        <v>1333.33333333333</v>
      </c>
    </row>
    <row r="109">
      <c r="A109" t="inlineStr" s="4">
        <is>
          <t>17.04.2026</t>
        </is>
      </c>
      <c r="B109" s="5">
        <v>108</v>
      </c>
      <c r="C109" t="inlineStr" s="4">
        <is>
          <t>УФ</t>
        </is>
      </c>
      <c r="D109" t="inlineStr" s="4">
        <is>
          <t>обсуждение нового продукта с ГБ и отделом продаж</t>
        </is>
      </c>
      <c r="E109" s="6">
        <v>0.75</v>
      </c>
      <c r="F109" s="7">
        <v>0</v>
      </c>
    </row>
    <row r="110">
      <c r="A110" t="inlineStr" s="4">
        <is>
          <t>17.04.2026</t>
        </is>
      </c>
      <c r="B110" s="5">
        <v>109</v>
      </c>
      <c r="C110" t="inlineStr" s="4">
        <is>
          <t>УФ</t>
        </is>
      </c>
      <c r="D110" t="inlineStr" s="4">
        <is>
          <t>работа с документами (наведение порядка в папках)</t>
        </is>
      </c>
      <c r="E110" s="6">
        <v>2</v>
      </c>
      <c r="F110" s="7">
        <v>0</v>
      </c>
    </row>
    <row r="111">
      <c r="A111" t="inlineStr" s="4">
        <is>
          <t>17.04.2026</t>
        </is>
      </c>
      <c r="B111" s="5">
        <v>110</v>
      </c>
      <c r="C111" t="inlineStr" s="4">
        <is>
          <t>УФ</t>
        </is>
      </c>
      <c r="D111" t="inlineStr" s="4">
        <is>
          <t>совещание финансистов</t>
        </is>
      </c>
      <c r="E111" s="6">
        <v>0.5</v>
      </c>
      <c r="F111" s="7">
        <v>0</v>
      </c>
    </row>
    <row r="112">
      <c r="A112" t="inlineStr" s="4">
        <is>
          <t>20.04.2026</t>
        </is>
      </c>
      <c r="B112" s="5">
        <v>111</v>
      </c>
      <c r="C112" t="inlineStr" s="4">
        <is>
          <t>УФ</t>
        </is>
      </c>
      <c r="D112" t="inlineStr" s="4">
        <is>
          <t>чат с УРС- ошибки при переносе остатков ( ваш ID)</t>
        </is>
      </c>
      <c r="E112" s="6">
        <v>1.5</v>
      </c>
      <c r="F112" s="7">
        <v>0</v>
      </c>
    </row>
    <row r="113">
      <c r="A113" t="inlineStr" s="4">
        <is>
          <t>20.04.2026</t>
        </is>
      </c>
      <c r="B113" s="5">
        <v>112</v>
      </c>
      <c r="C113" t="inlineStr" s="4">
        <is>
          <t>Рем</t>
        </is>
      </c>
      <c r="D113" t="inlineStr" s="4">
        <is>
          <t>Созвон с Людмилой- план по Свым+ Рем</t>
        </is>
      </c>
      <c r="E113" s="6">
        <v>1</v>
      </c>
      <c r="F113" s="7">
        <v>2000</v>
      </c>
    </row>
    <row r="114">
      <c r="A114" t="inlineStr" s="4">
        <is>
          <t>20.04.2026</t>
        </is>
      </c>
      <c r="B114" s="5">
        <v>113</v>
      </c>
      <c r="C114" t="inlineStr" s="4">
        <is>
          <t>Рем</t>
        </is>
      </c>
      <c r="D114" t="inlineStr" s="4">
        <is>
          <t>проверка оплат из почты с Александрой 2025 год договор 9091 -аренда, созвон с Демир</t>
        </is>
      </c>
      <c r="E114" s="6">
        <v>0.833333333333</v>
      </c>
      <c r="F114" s="7">
        <v>1666.66666666667</v>
      </c>
    </row>
    <row r="115">
      <c r="A115" t="inlineStr" s="4">
        <is>
          <t>20.04.2026</t>
        </is>
      </c>
      <c r="B115" s="5">
        <v>114</v>
      </c>
      <c r="C115" t="inlineStr" s="4">
        <is>
          <t>Рем</t>
        </is>
      </c>
      <c r="D115" t="inlineStr" s="4">
        <is>
          <t>Созвон с Ириной- проверка договора и оплат</t>
        </is>
      </c>
      <c r="E115" s="6">
        <v>0.5</v>
      </c>
      <c r="F115" s="7">
        <v>1000</v>
      </c>
    </row>
    <row r="116">
      <c r="A116" t="inlineStr" s="4">
        <is>
          <t>20.04.2026</t>
        </is>
      </c>
      <c r="B116" s="5">
        <v>115</v>
      </c>
      <c r="C116" t="inlineStr" s="4">
        <is>
          <t>ИП С С.П. (новый продукт)</t>
        </is>
      </c>
      <c r="D116" t="inlineStr" s="4">
        <is>
          <t>анализ разговора со Свым- составление план-шаблона для начала внедрения продуктов</t>
        </is>
      </c>
      <c r="E116" s="6">
        <v>1</v>
      </c>
      <c r="F116" s="7">
        <v>2000</v>
      </c>
    </row>
    <row r="117">
      <c r="A117" t="inlineStr" s="4">
        <is>
          <t>20.04.2026</t>
        </is>
      </c>
      <c r="B117" s="5">
        <v>116</v>
      </c>
      <c r="C117" t="inlineStr" s="4">
        <is>
          <t>УФ</t>
        </is>
      </c>
      <c r="D117" t="inlineStr" s="4">
        <is>
          <t>составление план-шаблона для начала внедрения продуктов, чек-лист</t>
        </is>
      </c>
      <c r="E117" s="6">
        <v>1</v>
      </c>
      <c r="F117" s="7">
        <v>0</v>
      </c>
    </row>
    <row r="118">
      <c r="A118" t="inlineStr" s="4">
        <is>
          <t>20.04.2026</t>
        </is>
      </c>
      <c r="B118" s="5">
        <v>117</v>
      </c>
      <c r="C118" t="inlineStr" s="4">
        <is>
          <t>УФ</t>
        </is>
      </c>
      <c r="D118" t="inlineStr" s="4">
        <is>
          <t>УРС -предоставили доступ к СБИС и гугл таблице</t>
        </is>
      </c>
      <c r="E118" s="6">
        <v>1.5</v>
      </c>
      <c r="F118" s="7">
        <v>0</v>
      </c>
    </row>
    <row r="119">
      <c r="A119" t="inlineStr" s="4">
        <is>
          <t>21.04.2026</t>
        </is>
      </c>
      <c r="B119" s="5">
        <v>118</v>
      </c>
      <c r="C119" t="inlineStr" s="4">
        <is>
          <t>Рем</t>
        </is>
      </c>
      <c r="D119" t="inlineStr" s="4">
        <is>
          <t>проверка чата и платежного календаря, составление регламента для Рема</t>
        </is>
      </c>
      <c r="E119" s="6">
        <v>1.25</v>
      </c>
      <c r="F119" s="7">
        <v>2500</v>
      </c>
    </row>
    <row r="120">
      <c r="A120" t="inlineStr" s="4">
        <is>
          <t>21.04.2026</t>
        </is>
      </c>
      <c r="B120" s="5">
        <v>119</v>
      </c>
      <c r="C120" t="inlineStr" s="4">
        <is>
          <t>Арк</t>
        </is>
      </c>
      <c r="D120" t="inlineStr" s="4">
        <is>
          <t>оддс за март, Арктика</t>
        </is>
      </c>
      <c r="E120" s="6">
        <v>1.75</v>
      </c>
      <c r="F120" s="7">
        <v>3500</v>
      </c>
    </row>
    <row r="121">
      <c r="A121" t="inlineStr" s="4">
        <is>
          <t>21.04.2026</t>
        </is>
      </c>
      <c r="B121" s="5">
        <v>120</v>
      </c>
      <c r="C121" t="inlineStr" s="4">
        <is>
          <t>Атт</t>
        </is>
      </c>
      <c r="D121" t="inlineStr" s="4">
        <is>
          <t>Атт февраль, март 2026 сборка факта</t>
        </is>
      </c>
      <c r="E121" s="6">
        <v>2</v>
      </c>
      <c r="F121" s="7">
        <v>4000</v>
      </c>
    </row>
    <row r="122">
      <c r="A122" t="inlineStr" s="4">
        <is>
          <t>21.04.2026</t>
        </is>
      </c>
      <c r="B122" s="5">
        <v>121</v>
      </c>
      <c r="C122" t="inlineStr" s="4">
        <is>
          <t>УФ</t>
        </is>
      </c>
      <c r="D122" t="inlineStr" s="4">
        <is>
          <t>созвон с Демир +Мирошниченко</t>
        </is>
      </c>
      <c r="E122" s="6">
        <v>0.5</v>
      </c>
      <c r="F122" s="7">
        <v>0</v>
      </c>
    </row>
    <row r="123">
      <c r="A123" t="inlineStr" s="4">
        <is>
          <t>21.04.2026</t>
        </is>
      </c>
      <c r="B123" s="5">
        <v>122</v>
      </c>
      <c r="C123" t="inlineStr" s="4">
        <is>
          <t>Рем</t>
        </is>
      </c>
      <c r="D123" t="inlineStr" s="4">
        <is>
          <t>согласование регламента для Рема Александрой и Ирина</t>
        </is>
      </c>
      <c r="E123" s="6">
        <v>0.5</v>
      </c>
      <c r="F123" s="7">
        <v>999.999999999996</v>
      </c>
    </row>
    <row r="124">
      <c r="A124" t="inlineStr" s="4">
        <is>
          <t>21.04.2026</t>
        </is>
      </c>
      <c r="B124" s="5">
        <v>123</v>
      </c>
      <c r="C124" t="inlineStr" s="4">
        <is>
          <t>Атт</t>
        </is>
      </c>
      <c r="D124" t="inlineStr" s="4">
        <is>
          <t>Атт февраль, март 2026 проставление статей ДДС, заполнение формы</t>
        </is>
      </c>
      <c r="E124" s="6">
        <v>1.5</v>
      </c>
      <c r="F124" s="7">
        <v>3000</v>
      </c>
    </row>
    <row r="125">
      <c r="A125" t="inlineStr" s="4">
        <is>
          <t>21.04.2026</t>
        </is>
      </c>
      <c r="B125" s="5">
        <v>124</v>
      </c>
      <c r="C125" t="inlineStr" s="4">
        <is>
          <t>УФ</t>
        </is>
      </c>
      <c r="D125" t="inlineStr" s="4">
        <is>
          <t>созвон с Людмилой -справочники и статьи с ДДС -структура</t>
        </is>
      </c>
      <c r="E125" s="6">
        <v>1</v>
      </c>
      <c r="F125" s="7">
        <v>0</v>
      </c>
    </row>
    <row r="126">
      <c r="A126" t="inlineStr" s="4">
        <is>
          <t>22.04.2026</t>
        </is>
      </c>
      <c r="B126" s="5">
        <v>125</v>
      </c>
      <c r="C126" t="inlineStr" s="4">
        <is>
          <t>УФ</t>
        </is>
      </c>
      <c r="D126" t="inlineStr" s="4">
        <is>
          <t>УС факт апреля на 20.04 2026- в программе банковские выписки, создание списка, выгрузка в excel, создание сводной по статьям затрат, запрос по новым контрагентам, внесение факта в файл заказчика.</t>
        </is>
      </c>
      <c r="E126" s="6">
        <v>1</v>
      </c>
      <c r="F126" s="7">
        <v>0</v>
      </c>
    </row>
    <row r="127">
      <c r="A127" t="inlineStr" s="4">
        <is>
          <t>22.04.2026</t>
        </is>
      </c>
      <c r="B127" s="5">
        <v>126</v>
      </c>
      <c r="C127" t="inlineStr" s="4">
        <is>
          <t>Рем</t>
        </is>
      </c>
      <c r="D127" t="inlineStr" s="4">
        <is>
          <t>проверка чата- оплаты и регламенты в старом битрексе все пропало, в новом битрекс, ничего нет Созвон с Ириной по поводу оплат и с НЖС- был заблокрован, с Демир- уточнения по регламенту время ответа на запрос клиента.</t>
        </is>
      </c>
      <c r="E127" s="6">
        <v>0.583333333333</v>
      </c>
      <c r="F127" s="7">
        <v>1166.66666666667</v>
      </c>
    </row>
    <row r="128">
      <c r="A128" t="inlineStr" s="4">
        <is>
          <t>22.04.2026</t>
        </is>
      </c>
      <c r="B128" s="5">
        <v>127</v>
      </c>
      <c r="C128" t="inlineStr" s="4">
        <is>
          <t>УФ</t>
        </is>
      </c>
      <c r="D128" t="inlineStr" s="4">
        <is>
          <t>внесение выполненых работ по новому продукту в чат,</t>
        </is>
      </c>
      <c r="E128" s="6">
        <v>0.25</v>
      </c>
      <c r="F128" s="7">
        <v>0</v>
      </c>
    </row>
    <row r="129">
      <c r="A129" t="inlineStr" s="4">
        <is>
          <t>22.04.2026</t>
        </is>
      </c>
      <c r="B129" s="5">
        <v>128</v>
      </c>
      <c r="C129" t="inlineStr" s="4">
        <is>
          <t>УФ</t>
        </is>
      </c>
      <c r="D129" t="inlineStr" s="4">
        <is>
          <t>УРС- работа с таблицей заказчика, узучение программы</t>
        </is>
      </c>
      <c r="E129" s="6">
        <v>2.166666666667</v>
      </c>
      <c r="F129" s="7">
        <v>0</v>
      </c>
    </row>
    <row r="130">
      <c r="A130" t="inlineStr" s="4">
        <is>
          <t>22.04.2026</t>
        </is>
      </c>
      <c r="B130" s="5">
        <v>129</v>
      </c>
      <c r="C130" t="inlineStr" s="4">
        <is>
          <t>Рем</t>
        </is>
      </c>
      <c r="D130" t="inlineStr" s="4">
        <is>
          <t>проверка чата, попытка выяснить кто и что видит в чате, я не могу писать в чат , разблокировали ли НЖС</t>
        </is>
      </c>
      <c r="E130" s="6">
        <v>0.5</v>
      </c>
      <c r="F130" s="7">
        <v>1000</v>
      </c>
    </row>
    <row r="131">
      <c r="A131" t="inlineStr" s="4">
        <is>
          <t>22.04.2026</t>
        </is>
      </c>
      <c r="B131" s="5">
        <v>130</v>
      </c>
      <c r="C131" t="inlineStr" s="4">
        <is>
          <t>УФ</t>
        </is>
      </c>
      <c r="D131" t="inlineStr" s="4">
        <is>
          <t>подготовила вопросы для УРС по программе и в форме</t>
        </is>
      </c>
      <c r="E131" s="6">
        <v>1</v>
      </c>
      <c r="F131" s="7">
        <v>0</v>
      </c>
    </row>
    <row r="132">
      <c r="A132" t="inlineStr" s="4">
        <is>
          <t>22.04.2026</t>
        </is>
      </c>
      <c r="B132" s="5">
        <v>131</v>
      </c>
      <c r="C132" t="inlineStr" s="4">
        <is>
          <t>УФ</t>
        </is>
      </c>
      <c r="D132" t="inlineStr" s="4">
        <is>
          <t>проверила формы отчетов - для нового продукта</t>
        </is>
      </c>
      <c r="E132" s="6">
        <v>1</v>
      </c>
      <c r="F132" s="7">
        <v>0</v>
      </c>
    </row>
    <row r="133">
      <c r="A133" t="inlineStr" s="4">
        <is>
          <t>22.04.2026</t>
        </is>
      </c>
      <c r="B133" s="5">
        <v>132</v>
      </c>
      <c r="C133" t="inlineStr" s="4">
        <is>
          <t>Рем</t>
        </is>
      </c>
      <c r="D133" t="inlineStr" s="4">
        <is>
          <t>новое предложение по внесению счетов (пробовала в платежом календаре)</t>
        </is>
      </c>
      <c r="E133" s="6">
        <v>1</v>
      </c>
      <c r="F133" s="7">
        <v>2000</v>
      </c>
    </row>
    <row r="134">
      <c r="A134" t="inlineStr" s="4">
        <is>
          <t>23.04.2026</t>
        </is>
      </c>
      <c r="B134" s="5">
        <v>133</v>
      </c>
      <c r="C134" t="inlineStr" s="4">
        <is>
          <t>Рем</t>
        </is>
      </c>
      <c r="D134" t="inlineStr" s="4">
        <is>
          <t>проверка чата, информация по разблокировки НЖС, запрос по налогам Рема У бухгалтера</t>
        </is>
      </c>
      <c r="E134" s="6">
        <v>0.5</v>
      </c>
      <c r="F134" s="7">
        <v>1000</v>
      </c>
    </row>
    <row r="135">
      <c r="A135" t="inlineStr" s="4">
        <is>
          <t>23.04.2026</t>
        </is>
      </c>
      <c r="B135" s="5">
        <v>134</v>
      </c>
      <c r="C135" t="inlineStr" s="4">
        <is>
          <t>Рем</t>
        </is>
      </c>
      <c r="D135" t="inlineStr" s="4">
        <is>
          <t>описание проблемы по Рему - файл ехсел, краткое пояснение</t>
        </is>
      </c>
      <c r="E135" s="6">
        <v>0.5</v>
      </c>
      <c r="F135" s="7">
        <v>999.999999999999</v>
      </c>
    </row>
    <row r="136">
      <c r="A136" t="inlineStr" s="4">
        <is>
          <t>23.04.2026</t>
        </is>
      </c>
      <c r="B136" s="5">
        <v>135</v>
      </c>
      <c r="C136" t="inlineStr" s="4">
        <is>
          <t>УФ</t>
        </is>
      </c>
      <c r="D136" t="inlineStr" s="4">
        <is>
          <t>УРС- подготовка к встрече в Фад</t>
        </is>
      </c>
      <c r="E136" s="6">
        <v>0.5</v>
      </c>
      <c r="F136" s="7">
        <v>0</v>
      </c>
    </row>
    <row r="137">
      <c r="A137" t="inlineStr" s="4">
        <is>
          <t>23.04.2026</t>
        </is>
      </c>
      <c r="B137" s="5">
        <v>136</v>
      </c>
      <c r="C137" t="inlineStr" s="4">
        <is>
          <t>Рем</t>
        </is>
      </c>
      <c r="D137" t="inlineStr" s="4">
        <is>
          <t>созвон с бухгалтером Кузнецовой Еленой налоги 1 квартал 2026</t>
        </is>
      </c>
      <c r="E137" s="6">
        <v>0.166666666667</v>
      </c>
      <c r="F137" s="7">
        <v>333.333333333335</v>
      </c>
    </row>
    <row r="138">
      <c r="A138" t="inlineStr" s="4">
        <is>
          <t>23.04.2026</t>
        </is>
      </c>
      <c r="B138" s="5">
        <v>137</v>
      </c>
      <c r="C138" t="inlineStr" s="4">
        <is>
          <t>Рем</t>
        </is>
      </c>
      <c r="D138" t="inlineStr" s="4">
        <is>
          <t>просмотр ОПН по Рему и НЖС</t>
        </is>
      </c>
      <c r="E138" s="6">
        <v>1</v>
      </c>
      <c r="F138" s="7">
        <v>2000</v>
      </c>
    </row>
    <row r="139">
      <c r="A139" t="inlineStr" s="4">
        <is>
          <t>23.04.2026</t>
        </is>
      </c>
      <c r="B139" s="5">
        <v>138</v>
      </c>
      <c r="C139" t="inlineStr" s="4">
        <is>
          <t>УФ</t>
        </is>
      </c>
      <c r="D139" t="inlineStr" s="4">
        <is>
          <t>УРС- созвон в битрекс- перенесли встречу</t>
        </is>
      </c>
      <c r="E139" s="6">
        <v>0</v>
      </c>
      <c r="F139" s="7">
        <v>0</v>
      </c>
    </row>
    <row r="140">
      <c r="A140" t="inlineStr" s="4">
        <is>
          <t>23.04.2026</t>
        </is>
      </c>
      <c r="B140" s="5">
        <v>139</v>
      </c>
      <c r="C140" t="inlineStr" s="4">
        <is>
          <t>Атт</t>
        </is>
      </c>
      <c r="D140" t="inlineStr" s="4">
        <is>
          <t>проверка ошибок по ДДС февраль март 2026</t>
        </is>
      </c>
      <c r="E140" s="6">
        <v>1</v>
      </c>
      <c r="F140" s="7">
        <v>2000</v>
      </c>
    </row>
    <row r="141">
      <c r="A141" t="inlineStr" s="4">
        <is>
          <t>23.04.2026</t>
        </is>
      </c>
      <c r="B141" s="5">
        <v>140</v>
      </c>
      <c r="C141" t="inlineStr" s="4">
        <is>
          <t>Рем</t>
        </is>
      </c>
      <c r="D141" t="inlineStr" s="4">
        <is>
          <t>С Ириной В. обсудили реестр, налоги по 1 кварталу 2026 года Рем и НСС, нужна информация по слиянию НЖС с НСС</t>
        </is>
      </c>
      <c r="E141" s="6">
        <v>1.5</v>
      </c>
      <c r="F141" s="7">
        <v>3000</v>
      </c>
    </row>
    <row r="142">
      <c r="A142" t="inlineStr" s="4">
        <is>
          <t>24.04.0202</t>
        </is>
      </c>
      <c r="B142" s="5">
        <v>141</v>
      </c>
      <c r="C142" t="inlineStr" s="4">
        <is>
          <t>УФ</t>
        </is>
      </c>
      <c r="D142" t="inlineStr" s="4">
        <is>
          <t>новые функции в системе финансовый директор (изучение)</t>
        </is>
      </c>
      <c r="E142" s="6">
        <v>1</v>
      </c>
      <c r="F142" s="7">
        <v>0</v>
      </c>
    </row>
    <row r="143">
      <c r="A143" t="inlineStr" s="4">
        <is>
          <t>24.04.2026</t>
        </is>
      </c>
      <c r="B143" s="5">
        <v>142</v>
      </c>
      <c r="C143" t="inlineStr" s="4">
        <is>
          <t>Рем</t>
        </is>
      </c>
      <c r="D143" t="inlineStr" s="4">
        <is>
          <t>Проверка чата, платежный календарь на сегодня</t>
        </is>
      </c>
      <c r="E143" s="6">
        <v>0.5</v>
      </c>
      <c r="F143" s="7">
        <v>999.999999999999</v>
      </c>
    </row>
    <row r="144">
      <c r="A144" t="inlineStr" s="4">
        <is>
          <t>24.04.2026</t>
        </is>
      </c>
      <c r="B144" s="5">
        <v>143</v>
      </c>
      <c r="C144" t="inlineStr" s="4">
        <is>
          <t>УФ</t>
        </is>
      </c>
      <c r="D144" t="inlineStr" s="4">
        <is>
          <t>Созвон с УС Марина, запланировали май, проверили факт апреля, скорректировали справочник ДДС по статье услуги печати, внести данные по УК (наличные в таблицу) , созвон в среду в 11-12 часов</t>
        </is>
      </c>
      <c r="E144" s="6">
        <v>0.5</v>
      </c>
      <c r="F144" s="7">
        <v>0</v>
      </c>
    </row>
    <row r="145">
      <c r="A145" t="inlineStr" s="4">
        <is>
          <t>24.04.2026</t>
        </is>
      </c>
      <c r="B145" s="5">
        <v>144</v>
      </c>
      <c r="C145" t="inlineStr" s="4">
        <is>
          <t>УФ</t>
        </is>
      </c>
      <c r="D145" t="inlineStr" s="4">
        <is>
          <t>УС- в программе УК сформировала факт за апрель 2026 г. дополнила платежный календарь- проставила формулы и значения (наличные) по факту оплат за 2025 года сделала таблицу и анализ отклонений месяца к месяцу.</t>
        </is>
      </c>
      <c r="E145" s="6">
        <v>1.25</v>
      </c>
      <c r="F145" s="7">
        <v>0</v>
      </c>
    </row>
    <row r="146">
      <c r="A146" t="inlineStr" s="4">
        <is>
          <t>24.04.2026</t>
        </is>
      </c>
      <c r="B146" s="5">
        <v>145</v>
      </c>
      <c r="C146" t="inlineStr" s="4">
        <is>
          <t>Рем</t>
        </is>
      </c>
      <c r="D146" t="inlineStr" s="4">
        <is>
          <t>Предварительное согласование с собственником налогов за 1 квартал 2026 года Рем НСС</t>
        </is>
      </c>
      <c r="E146" s="6">
        <v>0.333333333333</v>
      </c>
      <c r="F146" s="7">
        <v>666.66666666667</v>
      </c>
    </row>
    <row r="147">
      <c r="A147" t="inlineStr" s="4">
        <is>
          <t>24.04.2026</t>
        </is>
      </c>
      <c r="B147" s="5">
        <v>146</v>
      </c>
      <c r="C147" t="inlineStr" s="4">
        <is>
          <t>УФ</t>
        </is>
      </c>
      <c r="D147" t="inlineStr" s="4">
        <is>
          <t>Собрание финансистов</t>
        </is>
      </c>
      <c r="E147" s="6">
        <v>1</v>
      </c>
      <c r="F147" s="7">
        <v>0</v>
      </c>
    </row>
    <row r="148">
      <c r="A148" t="inlineStr" s="4">
        <is>
          <t>24.04.2026</t>
        </is>
      </c>
      <c r="B148" s="5">
        <v>147</v>
      </c>
      <c r="C148" t="inlineStr" s="4">
        <is>
          <t>УФ</t>
        </is>
      </c>
      <c r="D148" t="inlineStr" s="4">
        <is>
          <t>по новому продукту приветственное сообщение, варианты развития событий</t>
        </is>
      </c>
      <c r="E148" s="6">
        <v>2</v>
      </c>
      <c r="F148" s="7">
        <v>0</v>
      </c>
    </row>
    <row r="149">
      <c r="A149" t="inlineStr" s="4">
        <is>
          <t>27.04.2026</t>
        </is>
      </c>
      <c r="B149" s="5">
        <v>148</v>
      </c>
      <c r="C149" t="inlineStr" s="4">
        <is>
          <t>Рем</t>
        </is>
      </c>
      <c r="D149" t="inlineStr" s="4">
        <is>
          <t>чат с Рем, налоги, займы, платежный календарь, поясненение собственнику, пояснение от бухгалтеров</t>
        </is>
      </c>
      <c r="E149" s="6">
        <v>8.666666666667</v>
      </c>
      <c r="F149" s="7">
        <v>17333.3333333333</v>
      </c>
    </row>
    <row r="150">
      <c r="A150" t="inlineStr" s="4">
        <is>
          <t>28.04.2026</t>
        </is>
      </c>
      <c r="B150" s="5">
        <v>149</v>
      </c>
      <c r="C150" t="inlineStr" s="4">
        <is>
          <t>УФ</t>
        </is>
      </c>
      <c r="D150" t="inlineStr" s="4">
        <is>
          <t>УС- факт апреля по 26.04.2026, сформировала баксковские выписки, раснесла по статьям, сформировала оплаты налиными, сделала свод по статьям, внесла в ПК</t>
        </is>
      </c>
      <c r="E150" s="6">
        <v>1.166666666667</v>
      </c>
      <c r="F150" s="7">
        <v>0</v>
      </c>
    </row>
    <row r="151">
      <c r="A151" t="inlineStr" s="4">
        <is>
          <t>28.04.2026</t>
        </is>
      </c>
      <c r="B151" s="5">
        <v>150</v>
      </c>
      <c r="C151" t="inlineStr" s="4">
        <is>
          <t>Рем</t>
        </is>
      </c>
      <c r="D151" t="inlineStr" s="4">
        <is>
          <t>проверка чата, созвон с бухгалтером и Бом И.С.</t>
        </is>
      </c>
      <c r="E151" s="6">
        <v>1.166666666667</v>
      </c>
      <c r="F151" s="7">
        <v>2333.33333333333</v>
      </c>
    </row>
    <row r="152">
      <c r="A152" t="inlineStr" s="4">
        <is>
          <t>28.04.2026</t>
        </is>
      </c>
      <c r="B152" s="5">
        <v>151</v>
      </c>
      <c r="C152" t="inlineStr" s="4">
        <is>
          <t>УФ</t>
        </is>
      </c>
      <c r="D152" t="inlineStr" s="4">
        <is>
          <t>УС- новые статьи по справочнику Согласование с собственником, доделала в ПК</t>
        </is>
      </c>
      <c r="E152" s="6">
        <v>0.166666666667</v>
      </c>
      <c r="F152" s="7">
        <v>0</v>
      </c>
    </row>
    <row r="153">
      <c r="A153" t="inlineStr" s="4">
        <is>
          <t>28.04.2026</t>
        </is>
      </c>
      <c r="B153" s="5">
        <v>152</v>
      </c>
      <c r="C153" t="inlineStr" s="4">
        <is>
          <t>ИП С С.П. (новый продукт)</t>
        </is>
      </c>
      <c r="D153" t="inlineStr" s="4">
        <is>
          <t>созвон Людмила</t>
        </is>
      </c>
      <c r="E153" s="6">
        <v>0.666666666667</v>
      </c>
      <c r="F153" s="7">
        <v>1333.33333333333</v>
      </c>
    </row>
    <row r="154">
      <c r="A154" t="inlineStr" s="4">
        <is>
          <t>28.04.2026</t>
        </is>
      </c>
      <c r="B154" s="5">
        <v>153</v>
      </c>
      <c r="C154" t="inlineStr" s="4">
        <is>
          <t>Рем</t>
        </is>
      </c>
      <c r="D154" t="inlineStr" s="4">
        <is>
          <t>Созвон Юлия налоги требование по Рему</t>
        </is>
      </c>
      <c r="E154" s="6">
        <v>0.333333333333</v>
      </c>
      <c r="F154" s="7">
        <v>666.666666666667</v>
      </c>
    </row>
    <row r="155">
      <c r="A155" t="inlineStr" s="4">
        <is>
          <t>28.04.2026</t>
        </is>
      </c>
      <c r="B155" s="5">
        <v>154</v>
      </c>
      <c r="C155" t="inlineStr" s="4">
        <is>
          <t>Рем</t>
        </is>
      </c>
      <c r="D155" t="inlineStr" s="4">
        <is>
          <t>Разбор платежа от МУП "Юскэнергогаз" выяснение платежа Б А</t>
        </is>
      </c>
      <c r="E155" s="6">
        <v>0.333333333333</v>
      </c>
      <c r="F155" s="7">
        <v>666.666666666664</v>
      </c>
    </row>
    <row r="156">
      <c r="A156" t="inlineStr" s="4">
        <is>
          <t>28.04.2026</t>
        </is>
      </c>
      <c r="B156" s="5">
        <v>155</v>
      </c>
      <c r="C156" t="inlineStr" s="4">
        <is>
          <t>УФ</t>
        </is>
      </c>
      <c r="D156" t="inlineStr" s="4">
        <is>
          <t>УС -созвон с бухгалтером внесение справочника в программу</t>
        </is>
      </c>
      <c r="E156" s="6">
        <v>0.166666666667</v>
      </c>
      <c r="F156" s="7">
        <v>0</v>
      </c>
    </row>
    <row r="157">
      <c r="A157" t="inlineStr" s="4">
        <is>
          <t>28.04.2026</t>
        </is>
      </c>
      <c r="B157" s="5">
        <v>156</v>
      </c>
      <c r="C157" t="inlineStr" s="4">
        <is>
          <t>Рем</t>
        </is>
      </c>
      <c r="D157" t="inlineStr" s="4">
        <is>
          <t>Разбор платежа от МУП "Юкэнергогаз" выяснение платежа, кто заводил счет у Рема счета не было. Дарья Кристопчук</t>
        </is>
      </c>
      <c r="E157" s="6">
        <v>0.5</v>
      </c>
      <c r="F157" s="7">
        <v>1000</v>
      </c>
    </row>
    <row r="158">
      <c r="A158" t="inlineStr" s="4">
        <is>
          <t>28.04.2026</t>
        </is>
      </c>
      <c r="B158" s="5">
        <v>157</v>
      </c>
      <c r="C158" t="inlineStr" s="4">
        <is>
          <t>Рем</t>
        </is>
      </c>
      <c r="D158" t="inlineStr" s="4">
        <is>
          <t>обсуждение уменьшения ОПН для НЖС, расчет предварительный</t>
        </is>
      </c>
      <c r="E158" s="6">
        <v>1</v>
      </c>
      <c r="F158" s="7">
        <v>2000</v>
      </c>
    </row>
    <row r="159">
      <c r="A159" t="inlineStr" s="4">
        <is>
          <t>29.04.2026</t>
        </is>
      </c>
      <c r="B159" s="5">
        <v>158</v>
      </c>
      <c r="C159" t="inlineStr" s="4">
        <is>
          <t>Рем</t>
        </is>
      </c>
      <c r="D159" t="inlineStr" s="4">
        <is>
          <t>Рем пояснения и расчет для уменьшения налога по НЖС</t>
        </is>
      </c>
      <c r="E159" s="6">
        <v>0.666666666667</v>
      </c>
      <c r="F159" s="7">
        <v>1333.33333333333</v>
      </c>
    </row>
    <row r="160">
      <c r="A160" t="inlineStr" s="4">
        <is>
          <t>29.04.2026</t>
        </is>
      </c>
      <c r="B160" s="5">
        <v>159</v>
      </c>
      <c r="C160" t="inlineStr" s="4">
        <is>
          <t>Рем</t>
        </is>
      </c>
      <c r="D160" t="inlineStr" s="4">
        <is>
          <t>пояснения по платежному поручению № 791 от 16.04.2026 г. на сумму 1068,48 , ответ Дарьи</t>
        </is>
      </c>
      <c r="E160" s="6">
        <v>0.416666666667</v>
      </c>
      <c r="F160" s="7">
        <v>833.333333333333</v>
      </c>
    </row>
    <row r="161">
      <c r="A161" t="inlineStr" s="4">
        <is>
          <t>29.04.2026</t>
        </is>
      </c>
      <c r="B161" s="5">
        <v>160</v>
      </c>
      <c r="C161" t="inlineStr" s="4">
        <is>
          <t>УФ</t>
        </is>
      </c>
      <c r="D161" t="inlineStr" s="4">
        <is>
          <t>созвон с Людмилой по Рему и новому продукту</t>
        </is>
      </c>
      <c r="E161" s="6">
        <v>0.333333333333</v>
      </c>
      <c r="F161" s="7">
        <v>0</v>
      </c>
    </row>
    <row r="162">
      <c r="A162" t="inlineStr" s="4">
        <is>
          <t>29.04.2026</t>
        </is>
      </c>
      <c r="B162" s="5">
        <v>161</v>
      </c>
      <c r="C162" t="inlineStr" s="4">
        <is>
          <t>Рем</t>
        </is>
      </c>
      <c r="D162" t="inlineStr" s="4">
        <is>
          <t>требования от налоговой , написала Кузнецовой ошибки были в прошлом месяце те же</t>
        </is>
      </c>
      <c r="E162" s="6">
        <v>0.416666666667</v>
      </c>
      <c r="F162" s="7">
        <v>833.333333333333</v>
      </c>
    </row>
    <row r="163">
      <c r="A163" t="inlineStr" s="4">
        <is>
          <t>29.04.2026</t>
        </is>
      </c>
      <c r="B163" s="5">
        <v>162</v>
      </c>
      <c r="C163" t="inlineStr" s="4">
        <is>
          <t>УФ</t>
        </is>
      </c>
      <c r="D163" t="inlineStr" s="4">
        <is>
          <t>УС- обсудили факт апреля по 26.04.2026, уточнили май с учетом факта за 3 недели апреля, созвон в мае 5 числа</t>
        </is>
      </c>
      <c r="E163" s="6">
        <v>0.666666666667</v>
      </c>
      <c r="F163" s="7">
        <v>0</v>
      </c>
    </row>
    <row r="164">
      <c r="A164" t="inlineStr" s="4">
        <is>
          <t>29.04.2026</t>
        </is>
      </c>
      <c r="B164" s="5">
        <v>163</v>
      </c>
      <c r="C164" t="inlineStr" s="4">
        <is>
          <t>Рем</t>
        </is>
      </c>
      <c r="D164" t="inlineStr" s="4">
        <is>
          <t>Письмо для Рема с пояснениями для Ба про снижению налогооблагаемой базы НЖС</t>
        </is>
      </c>
      <c r="E164" s="6">
        <v>0.166666666667</v>
      </c>
      <c r="F164" s="7">
        <v>333.333333333332</v>
      </c>
    </row>
    <row r="165">
      <c r="A165" t="inlineStr" s="4">
        <is>
          <t>29.04.2026</t>
        </is>
      </c>
      <c r="B165" s="5">
        <v>164</v>
      </c>
      <c r="C165" t="inlineStr" s="4">
        <is>
          <t>Рем</t>
        </is>
      </c>
      <c r="D165" t="inlineStr" s="4">
        <is>
          <t>проверка чата, .дарья нашла не созданный ей и Александрой п/п</t>
        </is>
      </c>
      <c r="E165" s="6">
        <v>0.333333333333</v>
      </c>
      <c r="F165" s="7">
        <v>666.666666666667</v>
      </c>
    </row>
    <row r="166">
      <c r="A166" t="inlineStr" s="4">
        <is>
          <t>29.04.2026</t>
        </is>
      </c>
      <c r="B166" s="5">
        <v>165</v>
      </c>
      <c r="C166" t="inlineStr" s="4">
        <is>
          <t>Рем</t>
        </is>
      </c>
      <c r="D166" t="inlineStr" s="4">
        <is>
          <t>созвон с Юлией -ответ на требования от налоговой №8899, 8780, созвон с Юлией</t>
        </is>
      </c>
      <c r="E166" s="6">
        <v>0.5</v>
      </c>
      <c r="F166" s="7">
        <v>999.999999999999</v>
      </c>
    </row>
    <row r="167">
      <c r="A167" t="inlineStr" s="4">
        <is>
          <t>29.04.2026</t>
        </is>
      </c>
      <c r="B167" s="5">
        <v>166</v>
      </c>
      <c r="C167" t="inlineStr" s="4">
        <is>
          <t>Рем</t>
        </is>
      </c>
      <c r="D167" t="inlineStr" s="4">
        <is>
          <t>созвон с Ириной, сидят без интернета, обсудили требования налоговой и снижение налогов по НЖС, ошибки в оплате аренды</t>
        </is>
      </c>
      <c r="E167" s="6">
        <v>1.5</v>
      </c>
      <c r="F167" s="7">
        <v>3000</v>
      </c>
    </row>
    <row r="168">
      <c r="A168" t="inlineStr" s="4">
        <is>
          <t>29.04.2026</t>
        </is>
      </c>
      <c r="B168" s="5">
        <v>167</v>
      </c>
      <c r="C168" t="inlineStr" s="4">
        <is>
          <t>Рем</t>
        </is>
      </c>
      <c r="D168" t="inlineStr" s="4">
        <is>
          <t>общение в чате с Александрой, платежный календарь, выгрузки из диадок</t>
        </is>
      </c>
      <c r="E168" s="6">
        <v>0.166666666667</v>
      </c>
      <c r="F168" s="7">
        <v>333.333333333332</v>
      </c>
    </row>
    <row r="169">
      <c r="A169" t="inlineStr" s="4">
        <is>
          <t>29.04.2026</t>
        </is>
      </c>
      <c r="B169" s="5">
        <v>168</v>
      </c>
      <c r="C169" t="inlineStr" s="4">
        <is>
          <t>УФ</t>
        </is>
      </c>
      <c r="D169" t="inlineStr" s="4">
        <is>
          <t>УС- отправка скорректированных статей ДДС гл.бухгалтеру</t>
        </is>
      </c>
      <c r="E169" s="6">
        <v>0.166666666667</v>
      </c>
      <c r="F169" s="7">
        <v>0</v>
      </c>
    </row>
    <row r="170">
      <c r="A170" t="inlineStr" s="4">
        <is>
          <t>29.04.2026</t>
        </is>
      </c>
      <c r="B170" s="5">
        <v>169</v>
      </c>
      <c r="C170" t="inlineStr" s="4">
        <is>
          <t>Рем</t>
        </is>
      </c>
      <c r="D170" t="inlineStr" s="4">
        <is>
          <t>проверка оплаты аренды администации по Юго- не те реквизиты</t>
        </is>
      </c>
      <c r="E170" s="6">
        <v>1.25</v>
      </c>
      <c r="F170" s="7">
        <v>2500</v>
      </c>
    </row>
    <row r="171">
      <c r="A171" t="inlineStr" s="4">
        <is>
          <t>30.04.2026</t>
        </is>
      </c>
      <c r="B171" s="5">
        <v>170</v>
      </c>
      <c r="C171" t="inlineStr" s="4">
        <is>
          <t>УФ</t>
        </is>
      </c>
      <c r="D171" t="inlineStr" s="4">
        <is>
          <t>Анализ работы финансиста с помощью нейросети</t>
        </is>
      </c>
      <c r="E171" s="6">
        <v>1</v>
      </c>
      <c r="F171" s="7">
        <v>0</v>
      </c>
    </row>
    <row r="172">
      <c r="A172" t="inlineStr" s="4">
        <is>
          <t>30.04.2026</t>
        </is>
      </c>
      <c r="B172" s="5">
        <v>171</v>
      </c>
      <c r="C172" t="inlineStr" s="4">
        <is>
          <t>Рем</t>
        </is>
      </c>
      <c r="D172" t="inlineStr" s="4">
        <is>
          <t>общаемся в чате с Александрой по аренде ОКТМО, ответ на запрос</t>
        </is>
      </c>
      <c r="E172" s="6">
        <v>0.416666666667</v>
      </c>
      <c r="F172" s="7">
        <v>833.333333333333</v>
      </c>
    </row>
    <row r="173">
      <c r="A173" t="inlineStr" s="4">
        <is>
          <t>30.04.2026</t>
        </is>
      </c>
      <c r="B173" s="5">
        <v>169</v>
      </c>
      <c r="C173" t="inlineStr" s="4">
        <is>
          <t>УФ</t>
        </is>
      </c>
      <c r="D173" t="inlineStr" s="4">
        <is>
          <t>в битрексе -настройки</t>
        </is>
      </c>
      <c r="E173" s="6">
        <v>0.5</v>
      </c>
      <c r="F173" s="7">
        <v>0</v>
      </c>
    </row>
    <row r="174">
      <c r="A174" t="inlineStr" s="4">
        <is>
          <t>30.04.2026</t>
        </is>
      </c>
      <c r="B174" s="5">
        <v>170</v>
      </c>
      <c r="C174" t="inlineStr" s="4">
        <is>
          <t>Рем</t>
        </is>
      </c>
      <c r="D174" t="inlineStr" s="4">
        <is>
          <t>Платежный календарь с Ириной , реквизиты и счета</t>
        </is>
      </c>
      <c r="E174" s="6">
        <v>0.833333333333</v>
      </c>
      <c r="F174" s="7">
        <v>1666.66666666667</v>
      </c>
    </row>
  </sheetData>
  <autoFilter ref="A1:F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2026-05-06T08:21:10Z</dcterms:created>
  <dcterms:modified xsi:type="dcterms:W3CDTF">2026-05-06T08:21:10Z</dcterms:modified>
</cp:coreProperties>
</file>